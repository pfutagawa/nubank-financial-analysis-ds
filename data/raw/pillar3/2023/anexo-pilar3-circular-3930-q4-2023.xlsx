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M1" sheetId="1" r:id="rId4"/>
    <sheet state="visible" name="OV1" sheetId="2" r:id="rId5"/>
    <sheet state="visible" name="CCA" sheetId="3" r:id="rId6"/>
    <sheet state="visible" name="CC1" sheetId="4" r:id="rId7"/>
    <sheet state="visible" name="CC2" sheetId="5" r:id="rId8"/>
    <sheet state="visible" name="CR1" sheetId="6" r:id="rId9"/>
    <sheet state="visible" name="CR2" sheetId="7" r:id="rId10"/>
    <sheet state="visible" name="CRBe" sheetId="8" r:id="rId11"/>
    <sheet state="visible" name="CRBf" sheetId="9" r:id="rId12"/>
    <sheet state="visible" name="CRBg" sheetId="10" r:id="rId13"/>
    <sheet state="visible" name="CRBh" sheetId="11" r:id="rId14"/>
    <sheet state="visible" name="CRBi" sheetId="12" r:id="rId15"/>
    <sheet state="visible" name="MR1" sheetId="13" r:id="rId16"/>
    <sheet state="visible" name="OPD" sheetId="14" r:id="rId17"/>
    <sheet state="visible" name="IRRBB1" sheetId="15" r:id="rId18"/>
  </sheets>
  <definedNames/>
  <calcPr/>
</workbook>
</file>

<file path=xl/sharedStrings.xml><?xml version="1.0" encoding="utf-8"?>
<sst xmlns="http://schemas.openxmlformats.org/spreadsheetml/2006/main" count="869" uniqueCount="468">
  <si>
    <t>Informações qualitativas sobre os requerimentos prudenciais [KM1]</t>
  </si>
  <si>
    <t>a</t>
  </si>
  <si>
    <t>b</t>
  </si>
  <si>
    <t>c</t>
  </si>
  <si>
    <t>d</t>
  </si>
  <si>
    <t>e</t>
  </si>
  <si>
    <t>Valores em R$</t>
  </si>
  <si>
    <t>Capital regulamentar - valores</t>
  </si>
  <si>
    <t>1</t>
  </si>
  <si>
    <t>Capital Principal</t>
  </si>
  <si>
    <t>2</t>
  </si>
  <si>
    <t>Nível I</t>
  </si>
  <si>
    <t>3</t>
  </si>
  <si>
    <t>Patrimônio de Referência (PR)</t>
  </si>
  <si>
    <t>3b</t>
  </si>
  <si>
    <t>Excesso dos recursos aplicados no ativo permanente</t>
  </si>
  <si>
    <t>-</t>
  </si>
  <si>
    <t>3c</t>
  </si>
  <si>
    <t>Destaque do PR</t>
  </si>
  <si>
    <t>Ativos ponderados pelo risco (RWA) - valores</t>
  </si>
  <si>
    <t>4</t>
  </si>
  <si>
    <t>RWA total</t>
  </si>
  <si>
    <t>Capital regulamentar como proporção do RWA</t>
  </si>
  <si>
    <t>5</t>
  </si>
  <si>
    <t>Índice de Capital Principal (ICP)</t>
  </si>
  <si>
    <t>6</t>
  </si>
  <si>
    <t>Índice de Nível 1 (%)</t>
  </si>
  <si>
    <t>7</t>
  </si>
  <si>
    <t>Índice de Basileia</t>
  </si>
  <si>
    <t>Adicional de Capital Principal (ACP) como proporção do RWA</t>
  </si>
  <si>
    <t>8</t>
  </si>
  <si>
    <t>Adicional de Conservação de Capital Principal - ACPConservação (%)</t>
  </si>
  <si>
    <t>9</t>
  </si>
  <si>
    <t>Adicional Contracíclico de Capital Principal - ACPContracíclico (%)</t>
  </si>
  <si>
    <t>10</t>
  </si>
  <si>
    <t>Adicional de Importância Sistêmica de Capital Principal - ACPSistêmico (%)</t>
  </si>
  <si>
    <t>11</t>
  </si>
  <si>
    <t>ACP total (%)</t>
  </si>
  <si>
    <t>12</t>
  </si>
  <si>
    <t>Margem excedente de Capital Principal (%)</t>
  </si>
  <si>
    <t>Razão de Alavancagem (RA)</t>
  </si>
  <si>
    <t>13</t>
  </si>
  <si>
    <t>Exposição total</t>
  </si>
  <si>
    <t>NA</t>
  </si>
  <si>
    <t>14</t>
  </si>
  <si>
    <t>RA (%)</t>
  </si>
  <si>
    <t>Indicador Liquidez de Curto Prazo (LCR)</t>
  </si>
  <si>
    <t>15</t>
  </si>
  <si>
    <t>Total de Ativos de Alta Liquidez (HQLA)</t>
  </si>
  <si>
    <t>16</t>
  </si>
  <si>
    <t>Total de saídas líquidas de caixa</t>
  </si>
  <si>
    <t>17</t>
  </si>
  <si>
    <t>LCR (%)</t>
  </si>
  <si>
    <t>Indicador de Liquidez de Longo Prazo (NSFR)</t>
  </si>
  <si>
    <t>18</t>
  </si>
  <si>
    <t>Recursos estáveis disponíveis (ASF)</t>
  </si>
  <si>
    <t>19</t>
  </si>
  <si>
    <t>Recursos estáveis requeridos (RSF)</t>
  </si>
  <si>
    <t>20</t>
  </si>
  <si>
    <t>NSFR (%)</t>
  </si>
  <si>
    <t>Comentários</t>
  </si>
  <si>
    <t>A partir de julho de 2023, o Banco Central do Brasil definiu um novo arcabouço regulatório para os conglomerados integrados por instituições de pagamento, sendo o conglomerado liderado pela Nu Pagamentos classificado como um Conglomerado Prudencial tipo 3. Essa nova regulação substituiu os requerimentos de capital antes aplicados ao conglomerado financeiro liderado pela Nu Financeira. Portanto, os requerimentos de capital aplicáveis a estes conglomerados não são comparáveis devido às diferenças de escopo.</t>
  </si>
  <si>
    <t>Visão geral dos ativos ponderados pelo risco (RWA)</t>
  </si>
  <si>
    <t>RWA</t>
  </si>
  <si>
    <t>Requerimento 
mínimo de PR</t>
  </si>
  <si>
    <t xml:space="preserve">Risco de Crédito em sentido estrito </t>
  </si>
  <si>
    <t>Do qual: apurado por meio da abordagem padronizada</t>
  </si>
  <si>
    <t>Do qual: apurado por meio da abordagem IRB básica</t>
  </si>
  <si>
    <t>Do qual: apurado por meio da abordagem IRB avançada</t>
  </si>
  <si>
    <t xml:space="preserve">Risco de crédito de contraparte (CCR) </t>
  </si>
  <si>
    <t>Do qual: apurado mediante uso da abordagem SA-CCR</t>
  </si>
  <si>
    <t>7a</t>
  </si>
  <si>
    <t xml:space="preserve">Do qual: apurado mediante uso da abordagem CEM </t>
  </si>
  <si>
    <t>Do qual: outros</t>
  </si>
  <si>
    <t xml:space="preserve">Cotas de fundos não consolidados - ativos subjacentes identificados </t>
  </si>
  <si>
    <t xml:space="preserve">Cotas de fundos não consolidados - ativos subjacentes inferidos conforme regulamento do fundo </t>
  </si>
  <si>
    <t xml:space="preserve">Cotas de fundos não consolidados - ativos subjacentes não identificados </t>
  </si>
  <si>
    <t>Exposições de securitização contabilizadas na carteira bancária</t>
  </si>
  <si>
    <t xml:space="preserve">Risco de mercado </t>
  </si>
  <si>
    <t>21</t>
  </si>
  <si>
    <t xml:space="preserve">Do qual: requerimento calculado mediante abordagem padronizada (RWAMPAD) </t>
  </si>
  <si>
    <t>22</t>
  </si>
  <si>
    <t xml:space="preserve">Do qual: requerimento calculado mediante modelo interno (RWAMINT) </t>
  </si>
  <si>
    <t>24</t>
  </si>
  <si>
    <t xml:space="preserve">Risco operacional </t>
  </si>
  <si>
    <t>I</t>
  </si>
  <si>
    <t>Risco de Pagamentos (RWASP)</t>
  </si>
  <si>
    <t>25</t>
  </si>
  <si>
    <t xml:space="preserve">Valores referentes às exposições não deduzidas no cálculo do PR </t>
  </si>
  <si>
    <t>29</t>
  </si>
  <si>
    <t>Total (1+6+12+13+14+16+20+24+I+25)</t>
  </si>
  <si>
    <t xml:space="preserve">A partir de julho de 2023, o Banco Central do Brasil definiu um novo arcabouço regulatório para os conglomerados integrados por instituições de pagamento, sendo o conglomerado liderado pela Nu Pagamentos classificado como um Conglomerado Prudencial tipo 3. Essa nova regulação substituiu os requerimentos de capital antes aplicados ao conglomerado financeiro liderado pela Nu Financeira. Portanto, as informações divulgadas aplicáveis a estes conglomerados não são comparáveis devido às diferenças de escopo.					</t>
  </si>
  <si>
    <t>Principais características dos instrumentos que compõem o Patrimônio de Referência (PR)</t>
  </si>
  <si>
    <t>Dec-23</t>
  </si>
  <si>
    <t>Informação quantitativa/qualitativa</t>
  </si>
  <si>
    <t>Emissor</t>
  </si>
  <si>
    <t>NU FINANCEIRA S.A. – SOCIEDADE DE CRÉDITO, FINANCIAMENTO E INVESTIMENTO</t>
  </si>
  <si>
    <t>Identificador único</t>
  </si>
  <si>
    <t>BRNUFNLFI013</t>
  </si>
  <si>
    <t>BRNUFNLFI021</t>
  </si>
  <si>
    <t>BRNUFNLFI039</t>
  </si>
  <si>
    <t>BRNUFNLFI0Z3</t>
  </si>
  <si>
    <t>Lei aplicável ao instrumento</t>
  </si>
  <si>
    <t>Lei nº 12.249, de 11 de junho de 2010 |Resolução nº 4.123, de 23 de agosto de 2012, do Conselho Monetário Nacional | Resolução nº 4.192, de 1º de março de 2013, do CMN | Lei nº 6.385, de 7 de dezembro de 1976 | Instrução CVM nº 476, de 16 de janeiro de 2009</t>
  </si>
  <si>
    <t>Classificação do instrumento como componente do PR durante o tratamento temporário de que trata o art. 28 da Resolução nº 4.192, de 2013.</t>
  </si>
  <si>
    <t>Classificação do instrumento como componente do PR após o tratamento temporário de que trata a linha anterior</t>
  </si>
  <si>
    <t>Nível II</t>
  </si>
  <si>
    <t>Escopo da elegibilidade do instrumento</t>
  </si>
  <si>
    <t>Conglomerado</t>
  </si>
  <si>
    <t>Tipo de instrumento</t>
  </si>
  <si>
    <t>Letra Financeira</t>
  </si>
  <si>
    <t>Valor reconhecido no PR</t>
  </si>
  <si>
    <t>Valor de face do instrumento</t>
  </si>
  <si>
    <t>Classificação contábil</t>
  </si>
  <si>
    <t>Passivo – custo amortizado</t>
  </si>
  <si>
    <t>Data original de emissão</t>
  </si>
  <si>
    <t>14/06/2019</t>
  </si>
  <si>
    <t>17/06/22</t>
  </si>
  <si>
    <t>31/10/22</t>
  </si>
  <si>
    <t>25/09/23</t>
  </si>
  <si>
    <t>Perpétuo ou com vencimento</t>
  </si>
  <si>
    <t>Com vencimento</t>
  </si>
  <si>
    <t>Perpétuo</t>
  </si>
  <si>
    <t>Data original de vencimento</t>
  </si>
  <si>
    <t>14/06/2029</t>
  </si>
  <si>
    <t>17/06/32</t>
  </si>
  <si>
    <t>Opção de resgate ou recompra</t>
  </si>
  <si>
    <t>Sim</t>
  </si>
  <si>
    <t>(1) Data de resgate ou de recompra (2) Datas de resgate ou de recompra condicionadas (3) Valor de resgate ou de recompra</t>
  </si>
  <si>
    <t>14/06/2024</t>
  </si>
  <si>
    <t>17/06/27</t>
  </si>
  <si>
    <t>Datas de resgate ou de recompra subsequentes, se aplicável</t>
  </si>
  <si>
    <t>Resgate ou recompra pode ocorrer a partir 14/06/2024</t>
  </si>
  <si>
    <t>Resgate ou recompra pode ocorrer a partir 17/06/2027</t>
  </si>
  <si>
    <t>Resgate ou recompra pode ocorrer a partir 01/01/2028</t>
  </si>
  <si>
    <t>Resgate ou recompra pode ocorrer a partir 06/10/2028</t>
  </si>
  <si>
    <t>Remuneração/Dividendos</t>
  </si>
  <si>
    <t>Remuneração ou dividendos fixos ou variáveis</t>
  </si>
  <si>
    <t>Fixo</t>
  </si>
  <si>
    <t>Variáveis</t>
  </si>
  <si>
    <t>Taxa de remuneração e índice referenciado</t>
  </si>
  <si>
    <t>12,8%</t>
  </si>
  <si>
    <t>16,0%</t>
  </si>
  <si>
    <t>17,32%</t>
  </si>
  <si>
    <t>CDI + 4.62%</t>
  </si>
  <si>
    <t>Possibilidade de suspensão de pagamento de dividendos</t>
  </si>
  <si>
    <t>Não</t>
  </si>
  <si>
    <t>Completa discricionariedade, discricionariedade parcial ou mandatória</t>
  </si>
  <si>
    <t>Mandatório</t>
  </si>
  <si>
    <t>Existência de cláusulas que alterem prazos ou condições de remuneração pactuados ou outro incentivo para resgate</t>
  </si>
  <si>
    <t>Cumulativo ou não cumulativo</t>
  </si>
  <si>
    <t>23</t>
  </si>
  <si>
    <t>Conversível ou não conversível</t>
  </si>
  <si>
    <t>Não conversível</t>
  </si>
  <si>
    <t>Conversível</t>
  </si>
  <si>
    <t>Se conversível, em quais situações</t>
  </si>
  <si>
    <t>Serão conversíveis nas situações previstas no art. 18, inciso X, da Resolução BCB 199, de 11/03/2022.</t>
  </si>
  <si>
    <t>Serão conversíveis nas situações previstas no art. 13, inciso XV, da Resolução BCB 199, de 11/03/2022.</t>
  </si>
  <si>
    <t>Se conversível, totalmente ou parcialmente</t>
  </si>
  <si>
    <t>Totalmente</t>
  </si>
  <si>
    <t>26</t>
  </si>
  <si>
    <t>Se conversível, taxa de conversão</t>
  </si>
  <si>
    <t>Razão entre o volume financeiro da emissão e o preço de conversão</t>
  </si>
  <si>
    <t>27</t>
  </si>
  <si>
    <t>Se conversível, conversão obrigatória ou opcional</t>
  </si>
  <si>
    <t>Conversão obrigatória</t>
  </si>
  <si>
    <t>28</t>
  </si>
  <si>
    <t>Se conversível, especificar para qual tipo de instrumento</t>
  </si>
  <si>
    <t>Se conversível, especificar o emissor do instrumento para o qual pode ser convertido</t>
  </si>
  <si>
    <t>30</t>
  </si>
  <si>
    <t>Características para a extinção do instrumento</t>
  </si>
  <si>
    <t>31</t>
  </si>
  <si>
    <t>Se extinguível, em quais situações</t>
  </si>
  <si>
    <t>Serão extintas nas situações previstas no art. 18, inciso X, da Resolução BCB 199, de 11/03/2022.</t>
  </si>
  <si>
    <t>Serão extintas nas situações previstas no art. 13, inciso XV, da Resolução BCB 199, de 11/03/2022.</t>
  </si>
  <si>
    <t>32</t>
  </si>
  <si>
    <t>Se extinguível, totalmente ou parcialmente</t>
  </si>
  <si>
    <t>33</t>
  </si>
  <si>
    <t>Se extinguível, permanentemente ou temporariamente</t>
  </si>
  <si>
    <t>Permanente</t>
  </si>
  <si>
    <t>34a</t>
  </si>
  <si>
    <t>Tipo de subordinação</t>
  </si>
  <si>
    <t>Contratual</t>
  </si>
  <si>
    <t>35</t>
  </si>
  <si>
    <t>Posição na hierarquia de subordinação em caso de liquidação</t>
  </si>
  <si>
    <t>Subordinado ao pagamento dos demais passivos do Emissor na hipótese de dissolução do Emissor, com exceção do pagamento de passivos que compõem o “Capital Principal” e o “Capital Complementar”, tal como definidos na Resolução CMN 4.192.</t>
  </si>
  <si>
    <t>Subordinado ao pagamento dos demais passivos do Emissor na hipótese de dissolução do Emissor, com exceção do pagamento de passivos que compõem o “Capital Principal”, tal como definidos na Resolução CMN 4.955.</t>
  </si>
  <si>
    <t>36</t>
  </si>
  <si>
    <t>Possui características que não serão aceitas após o tratamento temporário de que trata o art. 28 da Resolução nº 4.192, de 2013</t>
  </si>
  <si>
    <t>37</t>
  </si>
  <si>
    <t>Se sim, especificar as características de que trata a linha anterior</t>
  </si>
  <si>
    <t>Composição do Patrimônio de Referência - PR [CC1]</t>
  </si>
  <si>
    <t>Dec-2023</t>
  </si>
  <si>
    <t>Valor</t>
  </si>
  <si>
    <t>Referência no
balanço do
conglomerado</t>
  </si>
  <si>
    <t>Capital Principal: instrumentos e reservas</t>
  </si>
  <si>
    <t>Instrumentos elegíveis ao Capital Principal</t>
  </si>
  <si>
    <t>(a)</t>
  </si>
  <si>
    <t>Reservas de lucros</t>
  </si>
  <si>
    <t>(b)</t>
  </si>
  <si>
    <t>Outras receitas e outras reservas</t>
  </si>
  <si>
    <t>(c)</t>
  </si>
  <si>
    <t>Participação de não controladores nos instrumentos emitidos por subsidiárias do conglomerado prudencial e elegíveis ao seu Capital Principal</t>
  </si>
  <si>
    <t>Capital Principal antes dos ajustes prudenciais</t>
  </si>
  <si>
    <t>(d)</t>
  </si>
  <si>
    <t>Capital Principal: ajustes prudenciais</t>
  </si>
  <si>
    <t>Ajustes prudenciais relativos a apreçamentos de instrumentos financeiros (PVA)</t>
  </si>
  <si>
    <t>Ágios pagos na aquisição de investimentos com fundamento em expectativa de rentabilidade futura</t>
  </si>
  <si>
    <t>Ativos intangíveis</t>
  </si>
  <si>
    <t>Créditos tributários decorrentes de prejuízos fiscais e de base negativa de Contribuição Social sobre o Lucro Líquido e os originados dessa contribuição relativos a períodos de apuração encerrados até 31 de dezembro de 1998</t>
  </si>
  <si>
    <t>Ajustes relativos ao valor de mercado dos instrumentos financeiros derivativos utilizados para hedge de fluxo de caixa de itens protegidos cujos ajustes de marcação a mercado não são registrados contabilmente</t>
  </si>
  <si>
    <t>Ativos atuariais relacionados a fundos de pensão de benefício definido</t>
  </si>
  <si>
    <t>Ações ou outros instrumentos de emissão própria autorizados a compor o Capital Principal da instituição ou conglomerado, adquiridos diretamente, indiretamente ou de forma sintética</t>
  </si>
  <si>
    <t>Valor total das deduções relativas às aquisições recíprocas de Capital Principal</t>
  </si>
  <si>
    <t>Valor total das deduções relativas às participações líquidas não significativas em Capital Principal de instituições autorizadas a funcionar pelo Banco Central do Brasil e de instituições financeiras no exterior não consolidadas e em capital social de empresas assemelhadas a instituições financeiras não consolidadas, sociedades seguradoras, resseguradoras, de capitalização e entidades abertas de previdência complementar</t>
  </si>
  <si>
    <t>Valor total das deduções relativas às participações líquidas significativas em Capital Principal de instituições autorizadas a funcionar pelo Banco Central do Brasil e de instituições financeiras no exterior não consolidadas e em capital social de empresas assemelhadas a instituições financeiras não consolidadas, sociedades seguradoras, resseguradoras, de capitalização e entidades abertas de previdência complementar, que exceda 10% do valor do Capital Principal da própria instituição ou conglomerado, desconsiderando deduções específicas</t>
  </si>
  <si>
    <t>Valor total das deduções relativas aos créditos tributários decorrentes de diferenças temporárias que dependam de geração de lucros ou receitas tributáveis futuras para sua realização, que exceda 10% do Capital Principal da própria instituição ou conglomerado, desconsiderando deduções específicas</t>
  </si>
  <si>
    <t>Valor que excede, de forma agregada, 15% do Capital Principal da própria instituição ou conglomerado</t>
  </si>
  <si>
    <t>do qual: oriundo de participações líquidas significativas em Capital Principal de instituições autorizadas a funcionar pelo Banco Central do Brasil e de instituições financeiras no exterior não consolidadas e em capital social de empresas assemelhadas a instituições financeiras não consolidadas, de sociedades seguradoras, resseguradoras, de capitalização e de entidades abertas de previdência complementar</t>
  </si>
  <si>
    <t>do qual: oriundo de créditos tributários decorrentes de diferenças temporárias que dependam de geração de lucros ou receitas tributáveis futuras para sua realização</t>
  </si>
  <si>
    <t>Ajustes regulatórios nacionais</t>
  </si>
  <si>
    <t>26.a</t>
  </si>
  <si>
    <t>Ativos permanentes diferidos</t>
  </si>
  <si>
    <t>26.b</t>
  </si>
  <si>
    <t>Investimentos em dependências, instituições financeiras controladas no exterior ou entidades não financeiras que componham o conglomerado, em relação às quais o Banco Central do Brasil não tenha acesso a informações, dados e documentos</t>
  </si>
  <si>
    <t>26.d</t>
  </si>
  <si>
    <t>Aumento de capital social não autorizado</t>
  </si>
  <si>
    <t>26.e</t>
  </si>
  <si>
    <t>Excedente do valor ajustado de Capital Principal</t>
  </si>
  <si>
    <t>26.f</t>
  </si>
  <si>
    <t>Depósito para suprir deficiência de capital</t>
  </si>
  <si>
    <t>26.g</t>
  </si>
  <si>
    <t>Montante dos ativos intangíveis constituídos antes da entrada em vigor da Resolução nº 4.192, de 2013</t>
  </si>
  <si>
    <t>26.h</t>
  </si>
  <si>
    <t>Excesso dos recursos aplicados no Ativo Permanente</t>
  </si>
  <si>
    <t>26.i</t>
  </si>
  <si>
    <t>Destaque do PR, conforme Resolução nº 4.589, de 29 de junho de 2017</t>
  </si>
  <si>
    <t>26.j</t>
  </si>
  <si>
    <t>Outras diferenças residuais relativas à metodologia de apuração do Capital Principal para fins regulatórios</t>
  </si>
  <si>
    <t>Dedução aplicada ao Capital Principal decorrente de insuficiência de Capital Complementar e de Nível II para cobrir as respectivas deduções nesses componentes</t>
  </si>
  <si>
    <t>Total de deduções regulatórias ao Capital Principal</t>
  </si>
  <si>
    <t>Capital Complementar: instrumentos</t>
  </si>
  <si>
    <t>Instrumentos elegíveis ao Capital Complementar</t>
  </si>
  <si>
    <t>dos quais: classificados como capital social conforme as regras contábeis</t>
  </si>
  <si>
    <t>dos quais: classificados como passivo conforme as regras contábeis</t>
  </si>
  <si>
    <t>34</t>
  </si>
  <si>
    <t>Participação de não controladores nos instrumentos emitidos por subsidiárias da instituição ou conglomerado e elegíveis ao seu Capital Complementar</t>
  </si>
  <si>
    <t>Capital Complementar antes das deduções regulatórias</t>
  </si>
  <si>
    <t>Capital Complementar: deduções regulatórias</t>
  </si>
  <si>
    <t>Ações ou outros instrumentos de emissão própria autorizados a compor o Capital Complementar da instituição ou conglomerado, adquiridos diretamente, indiretamente ou de forma sintética</t>
  </si>
  <si>
    <t>38</t>
  </si>
  <si>
    <t>Valor total das deduções relativas às aquisições recíprocas de Capital Complementar</t>
  </si>
  <si>
    <t>39</t>
  </si>
  <si>
    <t>Valor total das deduções relativas aos investimentos líquidos não significativos em Capital Complementar de instituições autorizadas a funcionar pelo Banco Central do Brasil e de instituições financeiras no exterior não consolidadas</t>
  </si>
  <si>
    <t>40</t>
  </si>
  <si>
    <t>Valor total das deduções relativas aos investimentos líquidos significativos em Capital Complementar de instituições autorizadas a funcionar pelo Banco Central do Brasil e de instituições financeiras no exterior não consolidadas</t>
  </si>
  <si>
    <t>41</t>
  </si>
  <si>
    <t>41.b</t>
  </si>
  <si>
    <t>Participação de não controladores no Capital Complementar</t>
  </si>
  <si>
    <t>41.c</t>
  </si>
  <si>
    <t>Outras diferenças residuais relativas à metodologia de apuração do Capital Complementar para fins regulatórios</t>
  </si>
  <si>
    <t>42</t>
  </si>
  <si>
    <t>Dedução aplicada ao Capital Complementar decorrente de insuficiência de Nível II para cobrir a dedução nesse componente</t>
  </si>
  <si>
    <t>43</t>
  </si>
  <si>
    <t>Total de deduções regulatórias ao Capital Complementar</t>
  </si>
  <si>
    <t>44</t>
  </si>
  <si>
    <t>Capital Complementar</t>
  </si>
  <si>
    <t>45</t>
  </si>
  <si>
    <t>Nível II: instrumentos</t>
  </si>
  <si>
    <t>46</t>
  </si>
  <si>
    <t>Instrumentos elegíveis ao Nível II</t>
  </si>
  <si>
    <t>48</t>
  </si>
  <si>
    <t>Participação de não controladores nos instrumentos emitidos por subsidiárias do conglomerado e elegíveis ao seu Nível II</t>
  </si>
  <si>
    <t>51</t>
  </si>
  <si>
    <t>Nível II antes das deduções regulatórias</t>
  </si>
  <si>
    <t>Nível II: deduções regulatórias</t>
  </si>
  <si>
    <t>52</t>
  </si>
  <si>
    <t>Ações ou outros instrumentos de emissão própria, autorizados a compor o Nível II da instituição ou conglomerado, adquiridos diretamente, indiretamente ou de forma sintética</t>
  </si>
  <si>
    <t>53</t>
  </si>
  <si>
    <t>Valor total das deduções relativas às aquisições recíprocas de Nível II</t>
  </si>
  <si>
    <t>54</t>
  </si>
  <si>
    <t>Valor total das deduções relativas aos investimentos líquidos não significativos em instrumentos de Nível II e em instrumentos reconhecidos como TLAC emitidos por instituições autorizadas a funcionar pelo Banco Central do Brasil ou por instituições financeiras no exterior não consolidadas</t>
  </si>
  <si>
    <t>55</t>
  </si>
  <si>
    <t>Valor total das deduções relativas aos investimentos líquidos significativos em instrumentos de Nível II e em instrumentos reconhecidos como TLAC emitidos por instituições autorizadas a funcionar pelo Banco Central do  Brasil ou por instituições financeiras no exterior não consolidadas</t>
  </si>
  <si>
    <t>56</t>
  </si>
  <si>
    <t>56.b</t>
  </si>
  <si>
    <t>Participação de não controladores no Nível II</t>
  </si>
  <si>
    <t>56.c</t>
  </si>
  <si>
    <t>Outras diferenças residuais relativas à metodologia de apuração do Nível II para fins regulatórios</t>
  </si>
  <si>
    <t>57</t>
  </si>
  <si>
    <t>Total de deduções regulatórias ao Nível II</t>
  </si>
  <si>
    <t>58</t>
  </si>
  <si>
    <t>59</t>
  </si>
  <si>
    <t>Patrimônio de Referência</t>
  </si>
  <si>
    <t>60</t>
  </si>
  <si>
    <t>Total de ativos ponderados pelo risco (RWA)</t>
  </si>
  <si>
    <t>Índices de Basileia e Adicional de Capital Principal</t>
  </si>
  <si>
    <t>61</t>
  </si>
  <si>
    <t>62</t>
  </si>
  <si>
    <t>Índice de Nível I (IN1)</t>
  </si>
  <si>
    <t>63</t>
  </si>
  <si>
    <t>Índice de Basileia (IB)</t>
  </si>
  <si>
    <t>64</t>
  </si>
  <si>
    <t>Percentual do adicional de Capital Principal (em relação ao RWA)</t>
  </si>
  <si>
    <t>65</t>
  </si>
  <si>
    <t>do qual: adicional para conservação de capital - ACPConservação</t>
  </si>
  <si>
    <t>66</t>
  </si>
  <si>
    <t>do qual: adicional contracíclico - ACPContracíclico</t>
  </si>
  <si>
    <t>67</t>
  </si>
  <si>
    <t>do qual: Adicional de Importância Sistêmica de Capital Principal - ACPSistêmico</t>
  </si>
  <si>
    <t>68</t>
  </si>
  <si>
    <t>Capital Principal excedente ao montante utilizado para cumprimento dos requerimentos de capital, como proporção do RWA (%)</t>
  </si>
  <si>
    <t>Valores abaixo do limite de dedução antes da aplicação de fator de ponderação de risco</t>
  </si>
  <si>
    <t>72</t>
  </si>
  <si>
    <t>Valor total, sujeito à ponderação de risco, das participações não significativas em Capital Principal de instituições autorizadas a funcionar pelo Banco Central do Brasil e de instituições financeiras no exterior não consolidas e em capital social de empresas assemelhadas a instituições financeiras não consolidadas, sociedades seguradoras, resseguradoras, de capitalização e entidades abertas de previdência complementar, bem como dos investimentos não significativos em Capital Complementar, em instrumentos de Nível II e em instrumentos reconhecidos como TLAC emitidos por instituições financeiras autorizadas a funcionar pelo Banco Central do Brasil ou por instituições financeiras no exterior não consolidadas</t>
  </si>
  <si>
    <t>73</t>
  </si>
  <si>
    <t>Valor total, sujeito à ponderação de risco, das participações significativas em Capital Principal de instituições autorizadas a funcionar pelo Banco Central do Brasil e de instituições financeiras no exterior não consolidas e em capital social de empresas assemelhadas a instituições financeiras não consolidadas, sociedades seguradoras, resseguradoras, de capitalização e entidades abertas de previdência complementar</t>
  </si>
  <si>
    <t>75</t>
  </si>
  <si>
    <t>Valor total, sujeito à ponderação de risco, de créditos tributários decorrentes de diferenças temporárias que dependam de geração de lucros ou receitas tributáveis futuras para sua realização, não deduzidos do Capital Principal</t>
  </si>
  <si>
    <t>A partir de julho de 2023, o Banco Central do Brasil definiu um novo arcabouço regulatório para os conglomerados integrados por instituições de pagamento, sendo o conglomerado liderado pela Nu Pagamentos classificado como um Conglomerado Prudencial tipo 3. Essa nova regulação substituiu os requerimentos de capital antes aplicados ao conglomerado financeiro liderado pela Nu Financeira. Portanto, as informações divulgadas aplicáveis a estes conglomerados não são comparáveis devido às diferenças de escopo.</t>
  </si>
  <si>
    <t>Conciliação do Patrimônio de Referência (PR) com o balanço patrimonial</t>
  </si>
  <si>
    <t>Valores do balanço patrimonial no final do período</t>
  </si>
  <si>
    <t>Valores considerados para fins da regulamentação prudencial no final do período</t>
  </si>
  <si>
    <t>Referência no balanço do conglomerado</t>
  </si>
  <si>
    <t>Ativo</t>
  </si>
  <si>
    <t>Caixa e equivalentes a caixa</t>
  </si>
  <si>
    <t>Aplicações interfinanceiras de liquidez</t>
  </si>
  <si>
    <t>Instrumentos financeiros</t>
  </si>
  <si>
    <t>Operações de crédito</t>
  </si>
  <si>
    <t>Operações de arrendamento mercantil</t>
  </si>
  <si>
    <t>Provisões para perdas esperadas associadas ao risco de crédito</t>
  </si>
  <si>
    <t>Créditos tributários</t>
  </si>
  <si>
    <t>Investimentos em participações em coligadas e controladas</t>
  </si>
  <si>
    <t xml:space="preserve">    Ágio baseado em expectativa de rentabilidade futura</t>
  </si>
  <si>
    <t xml:space="preserve">    Participação em instituições financeiras</t>
  </si>
  <si>
    <t xml:space="preserve">    Outros</t>
  </si>
  <si>
    <t>Imobilizado de uso</t>
  </si>
  <si>
    <t>Intangível</t>
  </si>
  <si>
    <t>Depreciações e amortizações</t>
  </si>
  <si>
    <t>Provisões para redução ao valor recuperável de ativos</t>
  </si>
  <si>
    <t>Outros créditos</t>
  </si>
  <si>
    <t>Total de ativos</t>
  </si>
  <si>
    <t>Passivo</t>
  </si>
  <si>
    <t>Depósitos e demais instrumentos financeiros</t>
  </si>
  <si>
    <t>Provisões</t>
  </si>
  <si>
    <t>Obrigações fiscais diferidas</t>
  </si>
  <si>
    <t>Outras obrigações</t>
  </si>
  <si>
    <t>Total de passivos</t>
  </si>
  <si>
    <t>Patrimônio líquido</t>
  </si>
  <si>
    <t xml:space="preserve">Capital social </t>
  </si>
  <si>
    <t xml:space="preserve">    do qual: montante elegível para Capital Principal</t>
  </si>
  <si>
    <t xml:space="preserve">    do qual: montante elegível para Capital Complementar</t>
  </si>
  <si>
    <t>Reserva de lucros</t>
  </si>
  <si>
    <t>Outros resultados abrangentes</t>
  </si>
  <si>
    <t>Lucros ou prejuízos acumulados</t>
  </si>
  <si>
    <t>Ações em tesouraria</t>
  </si>
  <si>
    <t>Patrimônio líquido total</t>
  </si>
  <si>
    <t>g</t>
  </si>
  <si>
    <t>Qualidade creditícia das exposições [CR1]</t>
  </si>
  <si>
    <t>Valor bruto</t>
  </si>
  <si>
    <t>Provisões, adiantamentos e rendas a apropriar</t>
  </si>
  <si>
    <t>Provisões, adiantamentos e rendas a apropriar
Dos quais:
RWACPAD</t>
  </si>
  <si>
    <t>Valor líquido
(a+b-c)</t>
  </si>
  <si>
    <t>Exposições
caracterizadas como
ativos
problemáticos</t>
  </si>
  <si>
    <t>Exposições não caracterizadas como ativos problemáticos</t>
  </si>
  <si>
    <t xml:space="preserve">Concessão de crédito </t>
  </si>
  <si>
    <t xml:space="preserve">Títulos de dívida </t>
  </si>
  <si>
    <t>2a</t>
  </si>
  <si>
    <t xml:space="preserve">dos quais: títulos soberanos nacionais </t>
  </si>
  <si>
    <t>2b</t>
  </si>
  <si>
    <t xml:space="preserve">dos quais: outros títulos </t>
  </si>
  <si>
    <t xml:space="preserve">Operações não contabilizadas no balanço patrimonial </t>
  </si>
  <si>
    <t>Total (1+2+3)</t>
  </si>
  <si>
    <t>Os dados desta tabela foram revisados e republicados na data de 16/05/2024.
A partir de julho de 2023, o Banco Central do Brasil definiu um novo arcabouço regulatório para os conglomerados integrados por instituições de pagamento, sendo o conglomerado liderado pela Nu Pagamentos classificado como um Conglomerado Prudencial tipo 3. Essa nova regulação substituiu os requerimentos de capital antes aplicados ao conglomerado financeiro liderado pela Nu Financeira. Portanto, as informações divulgadas aplicáveis a estes conglomerados não são comparáveis devido às diferenças de escopo.</t>
  </si>
  <si>
    <t>Mudanças no estoque de ativos problemáticos [CR2]</t>
  </si>
  <si>
    <t>Valor das exposições classificadas como ativos problemáticos ao final do período anterior</t>
  </si>
  <si>
    <t>Valor das exposições que passaram a ser classificadas como ativos problemáticos no período corrente</t>
  </si>
  <si>
    <t>Valor das exposições que deixaram de ser caracterizadas como ativos problemáticos no período corrente</t>
  </si>
  <si>
    <t xml:space="preserve">Valor da baixa contábil por prejuízo </t>
  </si>
  <si>
    <t>Outros ajustes</t>
  </si>
  <si>
    <t>Valor das exposições classificadas como ativos problemáticos no final do período corrente (1+2+3+4+5)</t>
  </si>
  <si>
    <t>Total de Exposições por região geográfica, setor econômico e prazo remanescente de vencimento</t>
  </si>
  <si>
    <t>Valores em R$ mil</t>
  </si>
  <si>
    <t>Exposições por região geográfica</t>
  </si>
  <si>
    <t>Centro-Oeste</t>
  </si>
  <si>
    <t>Nordeste</t>
  </si>
  <si>
    <t>Norte</t>
  </si>
  <si>
    <t>Sudeste</t>
  </si>
  <si>
    <t>Sul</t>
  </si>
  <si>
    <t>Território Nacional</t>
  </si>
  <si>
    <t>Total</t>
  </si>
  <si>
    <t>Exposições por setor econômico</t>
  </si>
  <si>
    <t>Pessoa Física</t>
  </si>
  <si>
    <t>Pessoa Jurídica</t>
  </si>
  <si>
    <t>Indústria</t>
  </si>
  <si>
    <t>Comércio</t>
  </si>
  <si>
    <t>Serviços</t>
  </si>
  <si>
    <t xml:space="preserve">Titulos Soberanos </t>
  </si>
  <si>
    <t>Outros</t>
  </si>
  <si>
    <t>Exposições por prazo remanescente de vencimento</t>
  </si>
  <si>
    <t>Até 6 meses</t>
  </si>
  <si>
    <t>De 6 meses a 1 ano</t>
  </si>
  <si>
    <t>Acima de 1 ano</t>
  </si>
  <si>
    <t>Sem vencimento</t>
  </si>
  <si>
    <t>Os dados desta tabela foram revisados e republicados na data de 16/05/2024. 
Abertura das exposições por prazo não considera as operações não contabilizadas no balanço patrimonial.
A partir de julho de 2023, o Banco Central do Brasil definiu um novo arcabouço regulatório para os conglomerados integrados por instituições de pagamento, sendo o conglomerado liderado pela Nu Pagamentos classificado como um Conglomerado Prudencial tipo 3. Essa nova regulação substituiu os requerimentos de capital antes aplicados ao conglomerado financeiro liderado pela Nu Financeira. Portanto, as informações divulgadas aplicáveis a estes conglomerados não são comparáveis devido às diferenças de escopo.</t>
  </si>
  <si>
    <t>Total de operações classificadas como ativos problemáticos segregadas por região geográfica e setor econômico</t>
  </si>
  <si>
    <t>Ativos problemáticos</t>
  </si>
  <si>
    <t>Provisão</t>
  </si>
  <si>
    <t>Baixas/Prejuízos</t>
  </si>
  <si>
    <t>Total de Exposições segmentadas por faixas de atraso</t>
  </si>
  <si>
    <t>Exposições por faixa de atraso</t>
  </si>
  <si>
    <t>Menor que 30 dias</t>
  </si>
  <si>
    <t>de 31 a 90 dias</t>
  </si>
  <si>
    <t>de 91 a 180 dias</t>
  </si>
  <si>
    <t>de 181 a 365 dias</t>
  </si>
  <si>
    <t>Maior do que 365 dias</t>
  </si>
  <si>
    <t>Total de Exposições reestruturadas classificadas como ativos problemáticos e demais</t>
  </si>
  <si>
    <t>Operações Reestruturadas</t>
  </si>
  <si>
    <t>Demais</t>
  </si>
  <si>
    <t>Percentual das dez e cem maiores exposições em relação ao total</t>
  </si>
  <si>
    <t>Valores em %</t>
  </si>
  <si>
    <t>Concentração de Exposições</t>
  </si>
  <si>
    <t>10 maiores devedores</t>
  </si>
  <si>
    <t>9,3%</t>
  </si>
  <si>
    <t>100 maiores devedores</t>
  </si>
  <si>
    <t>10,6%</t>
  </si>
  <si>
    <t>Inclui exposições a títulos de dívidas soberanos.</t>
  </si>
  <si>
    <t>Abordagem padronizada - fatores de risco associados ao risco de mercado [MR1]</t>
  </si>
  <si>
    <r>
      <rPr>
        <rFont val="Arial"/>
        <color rgb="FFFFFFFF"/>
        <sz val="9.0"/>
      </rPr>
      <t>RWA</t>
    </r>
    <r>
      <rPr>
        <rFont val="Arial"/>
        <color rgb="FFFFFFFF"/>
        <sz val="6.0"/>
      </rPr>
      <t>MPAD</t>
    </r>
  </si>
  <si>
    <t xml:space="preserve">Taxas de juros </t>
  </si>
  <si>
    <t>1a</t>
  </si>
  <si>
    <r>
      <rPr>
        <rFont val="Arial"/>
        <color rgb="FF434343"/>
      </rPr>
      <t xml:space="preserve">    Taxas de juros prefixada denominadas em Real (RWA</t>
    </r>
    <r>
      <rPr>
        <rFont val="Arial"/>
        <color rgb="FF434343"/>
        <sz val="6.0"/>
      </rPr>
      <t>JUR1</t>
    </r>
    <r>
      <rPr>
        <rFont val="Arial"/>
        <color rgb="FF434343"/>
      </rPr>
      <t>)</t>
    </r>
  </si>
  <si>
    <t>1b</t>
  </si>
  <si>
    <r>
      <rPr>
        <rFont val="Arial"/>
        <color rgb="FF434343"/>
      </rPr>
      <t xml:space="preserve">    Taxas dos cupons de moeda estrangeira (RWA</t>
    </r>
    <r>
      <rPr>
        <rFont val="Arial"/>
        <color rgb="FF434343"/>
        <sz val="6.0"/>
      </rPr>
      <t>JUR2</t>
    </r>
    <r>
      <rPr>
        <rFont val="Arial"/>
        <color rgb="FF434343"/>
      </rPr>
      <t xml:space="preserve">) </t>
    </r>
  </si>
  <si>
    <t>1c</t>
  </si>
  <si>
    <r>
      <rPr>
        <rFont val="Arial"/>
        <color rgb="FF434343"/>
      </rPr>
      <t xml:space="preserve">    Taxas dos cupons de índices de preço (RWA</t>
    </r>
    <r>
      <rPr>
        <rFont val="Arial"/>
        <color rgb="FF434343"/>
        <sz val="6.0"/>
      </rPr>
      <t>JUR3</t>
    </r>
    <r>
      <rPr>
        <rFont val="Arial"/>
        <color rgb="FF434343"/>
      </rPr>
      <t xml:space="preserve">) </t>
    </r>
  </si>
  <si>
    <t>1d</t>
  </si>
  <si>
    <r>
      <rPr>
        <rFont val="Arial"/>
        <color rgb="FF434343"/>
      </rPr>
      <t xml:space="preserve">    Taxas dos cupons de taxas de juros (RWA</t>
    </r>
    <r>
      <rPr>
        <rFont val="Arial"/>
        <color rgb="FF434343"/>
        <sz val="6.0"/>
      </rPr>
      <t>JUR4</t>
    </r>
    <r>
      <rPr>
        <rFont val="Arial"/>
        <color rgb="FF434343"/>
      </rPr>
      <t xml:space="preserve">) </t>
    </r>
  </si>
  <si>
    <r>
      <rPr>
        <rFont val="Arial"/>
        <color rgb="FF434343"/>
      </rPr>
      <t>Preços de ações (RWA</t>
    </r>
    <r>
      <rPr>
        <rFont val="Arial"/>
        <color rgb="FF434343"/>
        <sz val="6.0"/>
      </rPr>
      <t>acs</t>
    </r>
    <r>
      <rPr>
        <rFont val="Arial"/>
        <color rgb="FF434343"/>
      </rPr>
      <t xml:space="preserve">) </t>
    </r>
  </si>
  <si>
    <r>
      <rPr>
        <rFont val="Arial"/>
        <color rgb="FF434343"/>
      </rPr>
      <t>Taxas de câmbio (RWA</t>
    </r>
    <r>
      <rPr>
        <rFont val="Arial"/>
        <color rgb="FF434343"/>
        <sz val="6.0"/>
      </rPr>
      <t>cam</t>
    </r>
    <r>
      <rPr>
        <rFont val="Arial"/>
        <color rgb="FF434343"/>
      </rPr>
      <t xml:space="preserve">) </t>
    </r>
  </si>
  <si>
    <r>
      <rPr>
        <rFont val="Arial"/>
        <color rgb="FF434343"/>
      </rPr>
      <t>Preços de mercadorias (commodities) (RWA</t>
    </r>
    <r>
      <rPr>
        <rFont val="Arial"/>
        <color rgb="FF434343"/>
        <sz val="6.0"/>
      </rPr>
      <t>com</t>
    </r>
    <r>
      <rPr>
        <rFont val="Arial"/>
        <color rgb="FF434343"/>
      </rPr>
      <t xml:space="preserve">) </t>
    </r>
  </si>
  <si>
    <t>O montante total do RWAMPAD considera o valor de R$ 54,518 referente ao RWACVA, de acordo com o estabelecido na Res. BCB nº 200/22.</t>
  </si>
  <si>
    <t>Informações quantitativas sobre a exposição associada a instrumentos financeiros derivativos</t>
  </si>
  <si>
    <t>Derivativos: Carteira de Negociação e Carteira Bancária</t>
  </si>
  <si>
    <t>Em R$ milhões</t>
  </si>
  <si>
    <t>Com contraparte central</t>
  </si>
  <si>
    <t>Sem contraparte central</t>
  </si>
  <si>
    <t>Brasil</t>
  </si>
  <si>
    <t>Exterior</t>
  </si>
  <si>
    <t>Fatores de Risco</t>
  </si>
  <si>
    <t>Comprada</t>
  </si>
  <si>
    <t>Vendida</t>
  </si>
  <si>
    <t>Taxas de Juros</t>
  </si>
  <si>
    <t>Taxas de Câmbio</t>
  </si>
  <si>
    <t>Ações</t>
  </si>
  <si>
    <t>Commodities</t>
  </si>
  <si>
    <t>Informações quantitativas sobre o IRRBB [IRRBB1]</t>
  </si>
  <si>
    <t>ΔEVE</t>
  </si>
  <si>
    <t>ΔNII</t>
  </si>
  <si>
    <t>Cenário paralelo de alta</t>
  </si>
  <si>
    <t>Cenário paralelo de baixa</t>
  </si>
  <si>
    <t>Cenário de aumento das taxas de juros de curto prazo</t>
  </si>
  <si>
    <t>Cenário de redução das taxas de juros de curto prazo</t>
  </si>
  <si>
    <t>Cenário steepener</t>
  </si>
  <si>
    <t>Cenário flattener</t>
  </si>
  <si>
    <t>Variação máxima</t>
  </si>
  <si>
    <t>Data-base</t>
  </si>
  <si>
    <t>Nível I do Patrimônio de Referência (PR)</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</si>
</sst>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m&quot;-&quot;yy"/>
    <numFmt numFmtId="165" formatCode="#,##0.00;(#,##0.00)"/>
    <numFmt numFmtId="166" formatCode="#,##0;(#,##0)"/>
    <numFmt numFmtId="167" formatCode="mmm-d"/>
    <numFmt numFmtId="168" formatCode="mm/dd/yy"/>
    <numFmt numFmtId="169" formatCode="mmm-yy"/>
  </numFmts>
  <fonts count="36">
    <font>
      <sz val="10.0"/>
      <color rgb="FF000000"/>
      <name val="Arial"/>
      <scheme val="minor"/>
    </font>
    <font>
      <sz val="12.0"/>
      <color theme="1"/>
      <name val="Arial"/>
    </font>
    <font>
      <sz val="9.0"/>
      <color theme="0"/>
      <name val="Arial"/>
    </font>
    <font>
      <sz val="10.0"/>
      <color theme="0"/>
      <name val="Arial"/>
    </font>
    <font>
      <sz val="10.0"/>
      <color rgb="FFFFFFFF"/>
      <name val="Arial"/>
    </font>
    <font>
      <sz val="9.0"/>
      <color rgb="FFFFFFFF"/>
      <name val="Arial"/>
    </font>
    <font>
      <color theme="1"/>
      <name val="Arial"/>
    </font>
    <font>
      <b/>
      <color rgb="FFFFFFFF"/>
      <name val="Arial"/>
      <scheme val="minor"/>
    </font>
    <font>
      <b/>
      <color rgb="FF9900FF"/>
      <name val="Arial"/>
    </font>
    <font>
      <b/>
      <color rgb="FF4C0677"/>
      <name val="Arial"/>
    </font>
    <font>
      <color theme="1"/>
      <name val="Arial"/>
      <scheme val="minor"/>
    </font>
    <font>
      <color rgb="FF434343"/>
      <name val="Arial"/>
    </font>
    <font>
      <color rgb="FF434343"/>
      <name val="Arial"/>
      <scheme val="minor"/>
    </font>
    <font>
      <b/>
      <color rgb="FF434343"/>
      <name val="Arial"/>
      <scheme val="minor"/>
    </font>
    <font>
      <sz val="9.0"/>
      <color rgb="FF434343"/>
      <name val="Arial"/>
    </font>
    <font/>
    <font>
      <sz val="9.0"/>
      <color rgb="FF434343"/>
      <name val="Arial"/>
      <scheme val="minor"/>
    </font>
    <font>
      <b/>
      <color rgb="FFFFFFFF"/>
      <name val="Arial"/>
    </font>
    <font>
      <b/>
      <color theme="0"/>
      <name val="Arial"/>
    </font>
    <font>
      <b/>
      <sz val="10.0"/>
      <color rgb="FFFFFFFF"/>
      <name val="Arial"/>
    </font>
    <font>
      <sz val="10.0"/>
      <color rgb="FF434343"/>
      <name val="Arial"/>
    </font>
    <font>
      <b/>
      <color rgb="FF434343"/>
      <name val="Arial"/>
    </font>
    <font>
      <color theme="0"/>
      <name val="Arial"/>
    </font>
    <font>
      <sz val="9.0"/>
      <color rgb="FFFFFFFF"/>
      <name val="Arial"/>
      <scheme val="minor"/>
    </font>
    <font>
      <b/>
      <sz val="10.0"/>
      <color rgb="FF434343"/>
      <name val="Arial"/>
    </font>
    <font>
      <sz val="10.0"/>
      <color theme="1"/>
      <name val="Arial"/>
    </font>
    <font>
      <b/>
      <sz val="10.0"/>
      <color theme="1"/>
      <name val="Arial"/>
    </font>
    <font>
      <b/>
      <sz val="10.0"/>
      <color theme="1"/>
      <name val="Roboto"/>
    </font>
    <font>
      <b/>
      <color theme="1"/>
      <name val="Arial"/>
      <scheme val="minor"/>
    </font>
    <font>
      <color theme="1"/>
      <name val="Roboto"/>
    </font>
    <font>
      <sz val="9.0"/>
      <color rgb="FF000000"/>
      <name val="Arial"/>
      <scheme val="minor"/>
    </font>
    <font>
      <sz val="10.0"/>
      <color rgb="FF000000"/>
      <name val="Arial"/>
    </font>
    <font>
      <b/>
      <sz val="10.0"/>
      <color rgb="FF000000"/>
      <name val="Arial"/>
    </font>
    <font>
      <b/>
      <sz val="9.0"/>
      <color rgb="FFFFFFFF"/>
      <name val="Arial"/>
    </font>
    <font>
      <b/>
      <sz val="9.0"/>
      <color rgb="FF4C0677"/>
      <name val="Arial"/>
      <scheme val="minor"/>
    </font>
    <font>
      <sz val="10.0"/>
      <color rgb="FF434343"/>
      <name val="Arial"/>
      <scheme val="minor"/>
    </font>
  </fonts>
  <fills count="7">
    <fill>
      <patternFill patternType="none"/>
    </fill>
    <fill>
      <patternFill patternType="lightGray"/>
    </fill>
    <fill>
      <patternFill patternType="solid">
        <fgColor rgb="FF4C0677"/>
        <bgColor rgb="FF4C0677"/>
      </patternFill>
    </fill>
    <fill>
      <patternFill patternType="solid">
        <fgColor rgb="FFB7B7B7"/>
        <bgColor rgb="FFB7B7B7"/>
      </patternFill>
    </fill>
    <fill>
      <patternFill patternType="solid">
        <fgColor rgb="FF00FF00"/>
        <bgColor rgb="FF00FF00"/>
      </patternFill>
    </fill>
    <fill>
      <patternFill patternType="solid">
        <fgColor rgb="FF351C75"/>
        <bgColor rgb="FF351C75"/>
      </patternFill>
    </fill>
    <fill>
      <patternFill patternType="solid">
        <fgColor rgb="FF999999"/>
        <bgColor rgb="FF999999"/>
      </patternFill>
    </fill>
  </fills>
  <borders count="23">
    <border/>
    <border>
      <top style="thin">
        <color rgb="FF999999"/>
      </top>
    </border>
    <border>
      <bottom style="thin">
        <color rgb="FFFFFFFF"/>
      </bottom>
    </border>
    <border>
      <top style="thin">
        <color rgb="FF666666"/>
      </top>
    </border>
    <border>
      <bottom style="hair">
        <color rgb="FF999999"/>
      </bottom>
    </border>
    <border>
      <right style="thin">
        <color rgb="FFB7B7B7"/>
      </right>
      <bottom style="hair">
        <color rgb="FF999999"/>
      </bottom>
    </border>
    <border>
      <left style="thin">
        <color rgb="FFB7B7B7"/>
      </left>
      <right style="thin">
        <color rgb="FFB7B7B7"/>
      </right>
      <bottom style="hair">
        <color rgb="FF999999"/>
      </bottom>
    </border>
    <border>
      <left style="thin">
        <color rgb="FFB7B7B7"/>
      </left>
      <bottom style="hair">
        <color rgb="FF999999"/>
      </bottom>
    </border>
    <border>
      <top style="hair">
        <color rgb="FF999999"/>
      </top>
      <bottom style="hair">
        <color rgb="FF999999"/>
      </bottom>
    </border>
    <border>
      <right style="thin">
        <color rgb="FFB7B7B7"/>
      </right>
      <top style="hair">
        <color rgb="FF999999"/>
      </top>
      <bottom style="hair">
        <color rgb="FF999999"/>
      </bottom>
    </border>
    <border>
      <left style="thin">
        <color rgb="FFB7B7B7"/>
      </left>
      <right style="thin">
        <color rgb="FFB7B7B7"/>
      </right>
      <top style="hair">
        <color rgb="FF999999"/>
      </top>
      <bottom style="hair">
        <color rgb="FF999999"/>
      </bottom>
    </border>
    <border>
      <left style="thin">
        <color rgb="FFB7B7B7"/>
      </left>
      <top style="hair">
        <color rgb="FF999999"/>
      </top>
      <bottom style="hair">
        <color rgb="FF999999"/>
      </bottom>
    </border>
    <border>
      <top style="hair">
        <color rgb="FF999999"/>
      </top>
    </border>
    <border>
      <right style="thin">
        <color rgb="FFB7B7B7"/>
      </right>
      <top style="hair">
        <color rgb="FF999999"/>
      </top>
    </border>
    <border>
      <top style="thin">
        <color rgb="FFFFFFFF"/>
      </top>
    </border>
    <border>
      <top style="thin">
        <color rgb="FF000000"/>
      </top>
      <bottom style="thin">
        <color rgb="FF000000"/>
      </bottom>
    </border>
    <border>
      <bottom style="thin">
        <color rgb="FF999999"/>
      </bottom>
    </border>
    <border>
      <top style="thin">
        <color rgb="FF7030A0"/>
      </top>
    </border>
    <border>
      <right style="thin">
        <color rgb="FF7030A0"/>
      </right>
      <top style="thin">
        <color rgb="FF7030A0"/>
      </top>
    </border>
    <border>
      <right style="thin">
        <color rgb="FF7030A0"/>
      </right>
    </border>
    <border>
      <bottom style="thin">
        <color rgb="FF7030A0"/>
      </bottom>
    </border>
    <border>
      <right style="thin">
        <color rgb="FF7030A0"/>
      </right>
      <bottom style="thin">
        <color rgb="FF7030A0"/>
      </bottom>
    </border>
    <border>
      <right style="thin">
        <color rgb="FF999999"/>
      </right>
    </border>
  </borders>
  <cellStyleXfs count="1">
    <xf borderId="0" fillId="0" fontId="0" numFmtId="0" applyAlignment="1" applyFont="1"/>
  </cellStyleXfs>
  <cellXfs count="207">
    <xf borderId="0" fillId="0" fontId="0" numFmtId="0" xfId="0" applyAlignment="1" applyFont="1">
      <alignment readingOrder="0" shrinkToFit="0" vertical="bottom" wrapText="0"/>
    </xf>
    <xf borderId="0" fillId="0" fontId="1" numFmtId="49" xfId="0" applyAlignment="1" applyFont="1" applyNumberFormat="1">
      <alignment horizontal="center" readingOrder="0" shrinkToFit="0" vertical="center" wrapText="1"/>
    </xf>
    <xf borderId="0" fillId="0" fontId="2" numFmtId="49" xfId="0" applyAlignment="1" applyFont="1" applyNumberFormat="1">
      <alignment horizontal="center" readingOrder="0" shrinkToFit="0" vertical="center" wrapText="0"/>
    </xf>
    <xf borderId="0" fillId="0" fontId="2" numFmtId="49" xfId="0" applyAlignment="1" applyFont="1" applyNumberFormat="1">
      <alignment horizontal="center" readingOrder="0" shrinkToFit="0" vertical="center" wrapText="1"/>
    </xf>
    <xf borderId="0" fillId="2" fontId="1" numFmtId="49" xfId="0" applyAlignment="1" applyFill="1" applyFont="1" applyNumberFormat="1">
      <alignment horizontal="center" readingOrder="0" shrinkToFit="0" vertical="center" wrapText="1"/>
    </xf>
    <xf borderId="0" fillId="2" fontId="2" numFmtId="49" xfId="0" applyAlignment="1" applyFont="1" applyNumberFormat="1">
      <alignment horizontal="center" readingOrder="0" shrinkToFit="0" vertical="center" wrapText="0"/>
    </xf>
    <xf borderId="0" fillId="2" fontId="2" numFmtId="49" xfId="0" applyAlignment="1" applyFont="1" applyNumberFormat="1">
      <alignment horizontal="center" readingOrder="0" shrinkToFit="0" vertical="center" wrapText="1"/>
    </xf>
    <xf borderId="0" fillId="0" fontId="3" numFmtId="49" xfId="0" applyAlignment="1" applyFont="1" applyNumberFormat="1">
      <alignment horizontal="left" readingOrder="0" shrinkToFit="0" vertical="center" wrapText="0"/>
    </xf>
    <xf borderId="0" fillId="2" fontId="3" numFmtId="49" xfId="0" applyAlignment="1" applyFont="1" applyNumberFormat="1">
      <alignment horizontal="left" readingOrder="0" shrinkToFit="0" vertical="center" wrapText="0"/>
    </xf>
    <xf borderId="0" fillId="2" fontId="4" numFmtId="49" xfId="0" applyAlignment="1" applyFont="1" applyNumberFormat="1">
      <alignment horizontal="left" readingOrder="0" shrinkToFit="0" vertical="center" wrapText="0"/>
    </xf>
    <xf borderId="0" fillId="0" fontId="2" numFmtId="49" xfId="0" applyAlignment="1" applyFont="1" applyNumberFormat="1">
      <alignment horizontal="left" readingOrder="0" shrinkToFit="0" vertical="center" wrapText="0"/>
    </xf>
    <xf borderId="0" fillId="2" fontId="2" numFmtId="49" xfId="0" applyAlignment="1" applyFont="1" applyNumberFormat="1">
      <alignment horizontal="left" readingOrder="0" shrinkToFit="0" vertical="center" wrapText="0"/>
    </xf>
    <xf borderId="0" fillId="2" fontId="5" numFmtId="49" xfId="0" applyAlignment="1" applyFont="1" applyNumberFormat="1">
      <alignment horizontal="left" readingOrder="0" shrinkToFit="0" vertical="bottom" wrapText="0"/>
    </xf>
    <xf borderId="0" fillId="2" fontId="6" numFmtId="49" xfId="0" applyAlignment="1" applyFont="1" applyNumberFormat="1">
      <alignment readingOrder="0" shrinkToFit="0" wrapText="1"/>
    </xf>
    <xf borderId="0" fillId="2" fontId="7" numFmtId="164" xfId="0" applyAlignment="1" applyFont="1" applyNumberFormat="1">
      <alignment horizontal="center" readingOrder="0" shrinkToFit="0" vertical="center" wrapText="1"/>
    </xf>
    <xf borderId="0" fillId="0" fontId="8" numFmtId="49" xfId="0" applyAlignment="1" applyFont="1" applyNumberFormat="1">
      <alignment horizontal="left" readingOrder="0"/>
    </xf>
    <xf borderId="0" fillId="0" fontId="9" numFmtId="49" xfId="0" applyAlignment="1" applyFont="1" applyNumberFormat="1">
      <alignment horizontal="left" readingOrder="0"/>
    </xf>
    <xf borderId="0" fillId="0" fontId="6" numFmtId="49" xfId="0" applyAlignment="1" applyFont="1" applyNumberFormat="1">
      <alignment readingOrder="0" shrinkToFit="0" wrapText="1"/>
    </xf>
    <xf borderId="0" fillId="0" fontId="6" numFmtId="165" xfId="0" applyAlignment="1" applyFont="1" applyNumberFormat="1">
      <alignment horizontal="left" readingOrder="0" vertical="center"/>
    </xf>
    <xf borderId="0" fillId="0" fontId="10" numFmtId="165" xfId="0" applyAlignment="1" applyFont="1" applyNumberFormat="1">
      <alignment horizontal="left" readingOrder="0" shrinkToFit="0" vertical="center" wrapText="1"/>
    </xf>
    <xf borderId="0" fillId="0" fontId="11" numFmtId="49" xfId="0" applyAlignment="1" applyFont="1" applyNumberFormat="1">
      <alignment horizontal="center" readingOrder="0" shrinkToFit="0" wrapText="1"/>
    </xf>
    <xf borderId="0" fillId="0" fontId="11" numFmtId="49" xfId="0" applyAlignment="1" applyFont="1" applyNumberFormat="1">
      <alignment readingOrder="0" shrinkToFit="0" wrapText="1"/>
    </xf>
    <xf borderId="0" fillId="0" fontId="11" numFmtId="166" xfId="0" applyAlignment="1" applyFont="1" applyNumberFormat="1">
      <alignment horizontal="left" readingOrder="0" vertical="center"/>
    </xf>
    <xf borderId="0" fillId="0" fontId="12" numFmtId="166" xfId="0" applyAlignment="1" applyFont="1" applyNumberFormat="1">
      <alignment horizontal="left" readingOrder="0" shrinkToFit="0" vertical="center" wrapText="1"/>
    </xf>
    <xf borderId="1" fillId="0" fontId="9" numFmtId="49" xfId="0" applyAlignment="1" applyBorder="1" applyFont="1" applyNumberFormat="1">
      <alignment horizontal="left" readingOrder="0"/>
    </xf>
    <xf borderId="1" fillId="0" fontId="6" numFmtId="49" xfId="0" applyAlignment="1" applyBorder="1" applyFont="1" applyNumberFormat="1">
      <alignment readingOrder="0" shrinkToFit="0" wrapText="1"/>
    </xf>
    <xf borderId="1" fillId="0" fontId="6" numFmtId="166" xfId="0" applyAlignment="1" applyBorder="1" applyFont="1" applyNumberFormat="1">
      <alignment horizontal="left" readingOrder="0" vertical="center"/>
    </xf>
    <xf borderId="1" fillId="0" fontId="10" numFmtId="166" xfId="0" applyAlignment="1" applyBorder="1" applyFont="1" applyNumberFormat="1">
      <alignment horizontal="left" readingOrder="0" shrinkToFit="0" vertical="center" wrapText="1"/>
    </xf>
    <xf borderId="0" fillId="0" fontId="11" numFmtId="10" xfId="0" applyAlignment="1" applyFont="1" applyNumberFormat="1">
      <alignment horizontal="left" readingOrder="0" vertical="center"/>
    </xf>
    <xf borderId="0" fillId="0" fontId="12" numFmtId="10" xfId="0" applyAlignment="1" applyFont="1" applyNumberFormat="1">
      <alignment horizontal="left" readingOrder="0" shrinkToFit="0" vertical="center" wrapText="1"/>
    </xf>
    <xf borderId="0" fillId="0" fontId="11" numFmtId="49" xfId="0" applyAlignment="1" applyFont="1" applyNumberFormat="1">
      <alignment readingOrder="0" vertical="bottom"/>
    </xf>
    <xf borderId="0" fillId="0" fontId="10" numFmtId="49" xfId="0" applyAlignment="1" applyFont="1" applyNumberFormat="1">
      <alignment horizontal="center" shrinkToFit="0" vertical="center" wrapText="1"/>
    </xf>
    <xf borderId="0" fillId="0" fontId="10" numFmtId="49" xfId="0" applyAlignment="1" applyFont="1" applyNumberFormat="1">
      <alignment shrinkToFit="0" vertical="center" wrapText="1"/>
    </xf>
    <xf borderId="0" fillId="0" fontId="13" numFmtId="49" xfId="0" applyAlignment="1" applyFont="1" applyNumberFormat="1">
      <alignment horizontal="left" readingOrder="0" shrinkToFit="0" vertical="center" wrapText="0"/>
    </xf>
    <xf borderId="0" fillId="0" fontId="6" numFmtId="49" xfId="0" applyFont="1" applyNumberFormat="1"/>
    <xf borderId="1" fillId="0" fontId="14" numFmtId="49" xfId="0" applyAlignment="1" applyBorder="1" applyFont="1" applyNumberFormat="1">
      <alignment readingOrder="0" shrinkToFit="0" vertical="bottom" wrapText="1"/>
    </xf>
    <xf borderId="1" fillId="0" fontId="15" numFmtId="0" xfId="0" applyBorder="1" applyFont="1"/>
    <xf borderId="1" fillId="0" fontId="6" numFmtId="0" xfId="0" applyAlignment="1" applyBorder="1" applyFont="1">
      <alignment vertical="bottom"/>
    </xf>
    <xf borderId="0" fillId="0" fontId="16" numFmtId="49" xfId="0" applyAlignment="1" applyFont="1" applyNumberFormat="1">
      <alignment horizontal="center" shrinkToFit="0" vertical="center" wrapText="1"/>
    </xf>
    <xf borderId="0" fillId="0" fontId="16" numFmtId="49" xfId="0" applyAlignment="1" applyFont="1" applyNumberFormat="1">
      <alignment shrinkToFit="0" vertical="center" wrapText="1"/>
    </xf>
    <xf borderId="0" fillId="0" fontId="16" numFmtId="0" xfId="0" applyFont="1"/>
    <xf borderId="2" fillId="2" fontId="2" numFmtId="49" xfId="0" applyAlignment="1" applyBorder="1" applyFont="1" applyNumberFormat="1">
      <alignment horizontal="center" readingOrder="0" shrinkToFit="0" vertical="center" wrapText="0"/>
    </xf>
    <xf borderId="2" fillId="0" fontId="15" numFmtId="0" xfId="0" applyBorder="1" applyFont="1"/>
    <xf borderId="0" fillId="2" fontId="5" numFmtId="49" xfId="0" applyAlignment="1" applyFont="1" applyNumberFormat="1">
      <alignment horizontal="center" readingOrder="0" shrinkToFit="0" vertical="center" wrapText="1"/>
    </xf>
    <xf borderId="0" fillId="2" fontId="17" numFmtId="164" xfId="0" applyAlignment="1" applyFont="1" applyNumberFormat="1">
      <alignment horizontal="center" readingOrder="0"/>
    </xf>
    <xf borderId="0" fillId="2" fontId="18" numFmtId="164" xfId="0" applyAlignment="1" applyFont="1" applyNumberFormat="1">
      <alignment horizontal="center" readingOrder="0"/>
    </xf>
    <xf borderId="0" fillId="0" fontId="9" numFmtId="166" xfId="0" applyAlignment="1" applyFont="1" applyNumberFormat="1">
      <alignment horizontal="left" readingOrder="0" vertical="center"/>
    </xf>
    <xf borderId="3" fillId="0" fontId="11" numFmtId="49" xfId="0" applyAlignment="1" applyBorder="1" applyFont="1" applyNumberFormat="1">
      <alignment readingOrder="0" shrinkToFit="0" wrapText="1"/>
    </xf>
    <xf borderId="3" fillId="0" fontId="9" numFmtId="166" xfId="0" applyAlignment="1" applyBorder="1" applyFont="1" applyNumberFormat="1">
      <alignment horizontal="left" readingOrder="0" vertical="center"/>
    </xf>
    <xf borderId="0" fillId="0" fontId="10" numFmtId="49" xfId="0" applyAlignment="1" applyFont="1" applyNumberFormat="1">
      <alignment horizontal="left" shrinkToFit="0" vertical="top" wrapText="0"/>
    </xf>
    <xf borderId="0" fillId="0" fontId="10" numFmtId="49" xfId="0" applyAlignment="1" applyFont="1" applyNumberFormat="1">
      <alignment shrinkToFit="0" vertical="top" wrapText="1"/>
    </xf>
    <xf borderId="1" fillId="0" fontId="16" numFmtId="49" xfId="0" applyAlignment="1" applyBorder="1" applyFont="1" applyNumberFormat="1">
      <alignment horizontal="left" readingOrder="0" shrinkToFit="0" vertical="center" wrapText="1"/>
    </xf>
    <xf borderId="0" fillId="0" fontId="10" numFmtId="49" xfId="0" applyAlignment="1" applyFont="1" applyNumberFormat="1">
      <alignment readingOrder="0" shrinkToFit="0" vertical="center" wrapText="0"/>
    </xf>
    <xf borderId="0" fillId="2" fontId="2" numFmtId="167" xfId="0" applyAlignment="1" applyFont="1" applyNumberFormat="1">
      <alignment horizontal="left" readingOrder="0" shrinkToFit="0" vertical="center" wrapText="0"/>
    </xf>
    <xf borderId="0" fillId="2" fontId="19" numFmtId="49" xfId="0" applyAlignment="1" applyFont="1" applyNumberFormat="1">
      <alignment horizontal="center" readingOrder="0" shrinkToFit="0" vertical="center" wrapText="0"/>
    </xf>
    <xf borderId="0" fillId="2" fontId="5" numFmtId="49" xfId="0" applyAlignment="1" applyFont="1" applyNumberFormat="1">
      <alignment horizontal="center" readingOrder="0" shrinkToFit="0" vertical="center" wrapText="0"/>
    </xf>
    <xf borderId="0" fillId="2" fontId="2" numFmtId="167" xfId="0" applyAlignment="1" applyFont="1" applyNumberFormat="1">
      <alignment horizontal="center" readingOrder="0" vertical="center"/>
    </xf>
    <xf borderId="0" fillId="2" fontId="5" numFmtId="0" xfId="0" applyAlignment="1" applyFont="1">
      <alignment horizontal="center" readingOrder="0" vertical="center"/>
    </xf>
    <xf borderId="0" fillId="0" fontId="6" numFmtId="49" xfId="0" applyAlignment="1" applyFont="1" applyNumberFormat="1">
      <alignment shrinkToFit="0" wrapText="1"/>
    </xf>
    <xf quotePrefix="1" borderId="4" fillId="0" fontId="20" numFmtId="49" xfId="0" applyAlignment="1" applyBorder="1" applyFont="1" applyNumberFormat="1">
      <alignment shrinkToFit="0" vertical="center" wrapText="1"/>
    </xf>
    <xf borderId="5" fillId="0" fontId="20" numFmtId="49" xfId="0" applyAlignment="1" applyBorder="1" applyFont="1" applyNumberFormat="1">
      <alignment shrinkToFit="0" vertical="center" wrapText="1"/>
    </xf>
    <xf borderId="6" fillId="0" fontId="20" numFmtId="0" xfId="0" applyAlignment="1" applyBorder="1" applyFont="1">
      <alignment readingOrder="0" shrinkToFit="0" vertical="center" wrapText="1"/>
    </xf>
    <xf borderId="7" fillId="0" fontId="20" numFmtId="0" xfId="0" applyAlignment="1" applyBorder="1" applyFont="1">
      <alignment readingOrder="0" shrinkToFit="0" vertical="center" wrapText="1"/>
    </xf>
    <xf quotePrefix="1" borderId="8" fillId="0" fontId="20" numFmtId="49" xfId="0" applyAlignment="1" applyBorder="1" applyFont="1" applyNumberFormat="1">
      <alignment shrinkToFit="0" vertical="center" wrapText="1"/>
    </xf>
    <xf borderId="9" fillId="0" fontId="20" numFmtId="49" xfId="0" applyAlignment="1" applyBorder="1" applyFont="1" applyNumberFormat="1">
      <alignment shrinkToFit="0" vertical="center" wrapText="1"/>
    </xf>
    <xf borderId="10" fillId="0" fontId="20" numFmtId="0" xfId="0" applyAlignment="1" applyBorder="1" applyFont="1">
      <alignment readingOrder="0" shrinkToFit="0" vertical="center" wrapText="1"/>
    </xf>
    <xf borderId="11" fillId="0" fontId="20" numFmtId="0" xfId="0" applyAlignment="1" applyBorder="1" applyFont="1">
      <alignment readingOrder="0" shrinkToFit="0" vertical="center" wrapText="1"/>
    </xf>
    <xf borderId="10" fillId="0" fontId="20" numFmtId="3" xfId="0" applyAlignment="1" applyBorder="1" applyFont="1" applyNumberFormat="1">
      <alignment horizontal="left" readingOrder="0" shrinkToFit="0" vertical="center" wrapText="1"/>
    </xf>
    <xf borderId="11" fillId="0" fontId="20" numFmtId="3" xfId="0" applyAlignment="1" applyBorder="1" applyFont="1" applyNumberFormat="1">
      <alignment horizontal="left" readingOrder="0" shrinkToFit="0" vertical="center" wrapText="1"/>
    </xf>
    <xf borderId="11" fillId="0" fontId="20" numFmtId="168" xfId="0" applyAlignment="1" applyBorder="1" applyFont="1" applyNumberFormat="1">
      <alignment horizontal="left" readingOrder="0" shrinkToFit="0" vertical="center" wrapText="1"/>
    </xf>
    <xf borderId="8" fillId="0" fontId="20" numFmtId="49" xfId="0" applyAlignment="1" applyBorder="1" applyFont="1" applyNumberFormat="1">
      <alignment vertical="center"/>
    </xf>
    <xf borderId="8" fillId="0" fontId="20" numFmtId="49" xfId="0" applyAlignment="1" applyBorder="1" applyFont="1" applyNumberFormat="1">
      <alignment shrinkToFit="0" vertical="center" wrapText="1"/>
    </xf>
    <xf quotePrefix="1" borderId="12" fillId="0" fontId="20" numFmtId="49" xfId="0" applyAlignment="1" applyBorder="1" applyFont="1" applyNumberFormat="1">
      <alignment shrinkToFit="0" vertical="center" wrapText="1"/>
    </xf>
    <xf borderId="13" fillId="0" fontId="20" numFmtId="49" xfId="0" applyAlignment="1" applyBorder="1" applyFont="1" applyNumberFormat="1">
      <alignment shrinkToFit="0" vertical="center" wrapText="1"/>
    </xf>
    <xf borderId="2" fillId="2" fontId="19" numFmtId="49" xfId="0" applyAlignment="1" applyBorder="1" applyFont="1" applyNumberFormat="1">
      <alignment horizontal="center" readingOrder="0" shrinkToFit="0" vertical="center" wrapText="0"/>
    </xf>
    <xf borderId="0" fillId="0" fontId="6" numFmtId="165" xfId="0" applyAlignment="1" applyFont="1" applyNumberFormat="1">
      <alignment horizontal="right"/>
    </xf>
    <xf borderId="0" fillId="0" fontId="6" numFmtId="4" xfId="0" applyAlignment="1" applyFont="1" applyNumberFormat="1">
      <alignment horizontal="right"/>
    </xf>
    <xf quotePrefix="1" borderId="0" fillId="0" fontId="11" numFmtId="49" xfId="0" applyAlignment="1" applyFont="1" applyNumberFormat="1">
      <alignment shrinkToFit="0" vertical="center" wrapText="1"/>
    </xf>
    <xf borderId="0" fillId="0" fontId="11" numFmtId="49" xfId="0" applyAlignment="1" applyFont="1" applyNumberFormat="1">
      <alignment shrinkToFit="0" vertical="center" wrapText="1"/>
    </xf>
    <xf borderId="0" fillId="0" fontId="11" numFmtId="166" xfId="0" applyAlignment="1" applyFont="1" applyNumberFormat="1">
      <alignment horizontal="center" readingOrder="0" vertical="center"/>
    </xf>
    <xf borderId="0" fillId="0" fontId="21" numFmtId="49" xfId="0" applyAlignment="1" applyFont="1" applyNumberFormat="1">
      <alignment shrinkToFit="0" vertical="center" wrapText="1"/>
    </xf>
    <xf borderId="3" fillId="0" fontId="9" numFmtId="49" xfId="0" applyAlignment="1" applyBorder="1" applyFont="1" applyNumberFormat="1">
      <alignment horizontal="left" readingOrder="0"/>
    </xf>
    <xf borderId="3" fillId="0" fontId="6" numFmtId="49" xfId="0" applyAlignment="1" applyBorder="1" applyFont="1" applyNumberFormat="1">
      <alignment shrinkToFit="0" wrapText="1"/>
    </xf>
    <xf borderId="3" fillId="0" fontId="6" numFmtId="165" xfId="0" applyAlignment="1" applyBorder="1" applyFont="1" applyNumberFormat="1">
      <alignment horizontal="right"/>
    </xf>
    <xf borderId="3" fillId="0" fontId="6" numFmtId="4" xfId="0" applyAlignment="1" applyBorder="1" applyFont="1" applyNumberFormat="1">
      <alignment horizontal="center"/>
    </xf>
    <xf borderId="0" fillId="0" fontId="6" numFmtId="4" xfId="0" applyAlignment="1" applyFont="1" applyNumberFormat="1">
      <alignment horizontal="center"/>
    </xf>
    <xf borderId="0" fillId="0" fontId="21" numFmtId="49" xfId="0" applyAlignment="1" applyFont="1" applyNumberFormat="1">
      <alignment vertical="center"/>
    </xf>
    <xf borderId="3" fillId="0" fontId="6" numFmtId="4" xfId="0" applyBorder="1" applyFont="1" applyNumberFormat="1"/>
    <xf borderId="0" fillId="0" fontId="6" numFmtId="4" xfId="0" applyFont="1" applyNumberFormat="1"/>
    <xf borderId="3" fillId="0" fontId="11" numFmtId="49" xfId="0" applyAlignment="1" applyBorder="1" applyFont="1" applyNumberFormat="1">
      <alignment shrinkToFit="0" wrapText="1"/>
    </xf>
    <xf borderId="3" fillId="0" fontId="11" numFmtId="10" xfId="0" applyAlignment="1" applyBorder="1" applyFont="1" applyNumberFormat="1">
      <alignment horizontal="right"/>
    </xf>
    <xf borderId="3" fillId="3" fontId="11" numFmtId="49" xfId="0" applyBorder="1" applyFill="1" applyFont="1" applyNumberFormat="1"/>
    <xf borderId="0" fillId="3" fontId="11" numFmtId="49" xfId="0" applyFont="1" applyNumberFormat="1"/>
    <xf borderId="0" fillId="3" fontId="11" numFmtId="49" xfId="0" applyAlignment="1" applyFont="1" applyNumberFormat="1">
      <alignment vertical="center"/>
    </xf>
    <xf borderId="0" fillId="0" fontId="20" numFmtId="49" xfId="0" applyAlignment="1" applyFont="1" applyNumberFormat="1">
      <alignment shrinkToFit="0" vertical="center" wrapText="1"/>
    </xf>
    <xf borderId="1" fillId="0" fontId="16" numFmtId="49" xfId="0" applyAlignment="1" applyBorder="1" applyFont="1" applyNumberFormat="1">
      <alignment readingOrder="0" shrinkToFit="0" vertical="center" wrapText="1"/>
    </xf>
    <xf borderId="0" fillId="2" fontId="22" numFmtId="49" xfId="0" applyAlignment="1" applyFont="1" applyNumberFormat="1">
      <alignment readingOrder="0" shrinkToFit="0" wrapText="0"/>
    </xf>
    <xf borderId="0" fillId="2" fontId="22" numFmtId="49" xfId="0" applyAlignment="1" applyFont="1" applyNumberFormat="1">
      <alignment readingOrder="0" shrinkToFit="0" wrapText="1"/>
    </xf>
    <xf borderId="0" fillId="2" fontId="5" numFmtId="0" xfId="0" applyAlignment="1" applyFont="1">
      <alignment horizontal="center" readingOrder="0" shrinkToFit="0" vertical="center" wrapText="1"/>
    </xf>
    <xf borderId="0" fillId="2" fontId="23" numFmtId="49" xfId="0" applyAlignment="1" applyFont="1" applyNumberFormat="1">
      <alignment horizontal="center" readingOrder="0" shrinkToFit="0" vertical="center" wrapText="1"/>
    </xf>
    <xf borderId="0" fillId="0" fontId="12" numFmtId="166" xfId="0" applyAlignment="1" applyFont="1" applyNumberFormat="1">
      <alignment horizontal="center" readingOrder="0" shrinkToFit="0" vertical="center" wrapText="1"/>
    </xf>
    <xf borderId="0" fillId="0" fontId="10" numFmtId="166" xfId="0" applyAlignment="1" applyFont="1" applyNumberFormat="1">
      <alignment horizontal="left" readingOrder="0" shrinkToFit="0" vertical="center" wrapText="1"/>
    </xf>
    <xf borderId="1" fillId="0" fontId="11" numFmtId="49" xfId="0" applyAlignment="1" applyBorder="1" applyFont="1" applyNumberFormat="1">
      <alignment readingOrder="0" shrinkToFit="0" wrapText="1"/>
    </xf>
    <xf borderId="1" fillId="0" fontId="11" numFmtId="166" xfId="0" applyAlignment="1" applyBorder="1" applyFont="1" applyNumberFormat="1">
      <alignment horizontal="left" readingOrder="0" vertical="center"/>
    </xf>
    <xf borderId="1" fillId="0" fontId="12" numFmtId="166" xfId="0" applyAlignment="1" applyBorder="1" applyFont="1" applyNumberFormat="1">
      <alignment horizontal="left" readingOrder="0" shrinkToFit="0" vertical="center" wrapText="1"/>
    </xf>
    <xf quotePrefix="1" borderId="0" fillId="0" fontId="11" numFmtId="49" xfId="0" applyAlignment="1" applyFont="1" applyNumberFormat="1">
      <alignment horizontal="center" readingOrder="0" shrinkToFit="0" wrapText="1"/>
    </xf>
    <xf borderId="0" fillId="0" fontId="21" numFmtId="49" xfId="0" applyAlignment="1" applyFont="1" applyNumberFormat="1">
      <alignment readingOrder="0" shrinkToFit="0" wrapText="1"/>
    </xf>
    <xf borderId="2" fillId="2" fontId="4" numFmtId="164" xfId="0" applyAlignment="1" applyBorder="1" applyFont="1" applyNumberFormat="1">
      <alignment horizontal="center" readingOrder="0" shrinkToFit="0" vertical="center" wrapText="0"/>
    </xf>
    <xf borderId="14" fillId="2" fontId="5" numFmtId="49" xfId="0" applyAlignment="1" applyBorder="1" applyFont="1" applyNumberFormat="1">
      <alignment horizontal="center" readingOrder="0" shrinkToFit="0" vertical="center" wrapText="1"/>
    </xf>
    <xf borderId="14" fillId="0" fontId="15" numFmtId="0" xfId="0" applyBorder="1" applyFont="1"/>
    <xf borderId="0" fillId="0" fontId="11" numFmtId="165" xfId="0" applyAlignment="1" applyFont="1" applyNumberFormat="1">
      <alignment horizontal="center" readingOrder="0" vertical="center"/>
    </xf>
    <xf borderId="0" fillId="4" fontId="11" numFmtId="166" xfId="0" applyAlignment="1" applyFill="1" applyFont="1" applyNumberFormat="1">
      <alignment horizontal="center" readingOrder="0" vertical="center"/>
    </xf>
    <xf borderId="0" fillId="0" fontId="11" numFmtId="4" xfId="0" applyAlignment="1" applyFont="1" applyNumberFormat="1">
      <alignment horizontal="center" vertical="center"/>
    </xf>
    <xf borderId="0" fillId="0" fontId="11" numFmtId="4" xfId="0" applyAlignment="1" applyFont="1" applyNumberFormat="1">
      <alignment horizontal="center" readingOrder="0" vertical="center"/>
    </xf>
    <xf borderId="1" fillId="0" fontId="11" numFmtId="49" xfId="0" applyAlignment="1" applyBorder="1" applyFont="1" applyNumberFormat="1">
      <alignment horizontal="left" readingOrder="0"/>
    </xf>
    <xf borderId="1" fillId="0" fontId="21" numFmtId="49" xfId="0" applyAlignment="1" applyBorder="1" applyFont="1" applyNumberFormat="1">
      <alignment horizontal="left" readingOrder="0"/>
    </xf>
    <xf borderId="1" fillId="0" fontId="21" numFmtId="166" xfId="0" applyAlignment="1" applyBorder="1" applyFont="1" applyNumberFormat="1">
      <alignment horizontal="center" readingOrder="0" vertical="center"/>
    </xf>
    <xf borderId="0" fillId="0" fontId="10" numFmtId="3" xfId="0" applyAlignment="1" applyFont="1" applyNumberFormat="1">
      <alignment readingOrder="0"/>
    </xf>
    <xf borderId="0" fillId="0" fontId="10" numFmtId="4" xfId="0" applyAlignment="1" applyFont="1" applyNumberFormat="1">
      <alignment readingOrder="0" shrinkToFit="0" vertical="center" wrapText="1"/>
    </xf>
    <xf borderId="0" fillId="5" fontId="4" numFmtId="49" xfId="0" applyAlignment="1" applyFill="1" applyFont="1" applyNumberFormat="1">
      <alignment horizontal="left" readingOrder="0" shrinkToFit="0" vertical="center" wrapText="0"/>
    </xf>
    <xf borderId="0" fillId="2" fontId="18" numFmtId="167" xfId="0" applyAlignment="1" applyFont="1" applyNumberFormat="1">
      <alignment horizontal="center" readingOrder="0"/>
    </xf>
    <xf borderId="1" fillId="0" fontId="11" numFmtId="166" xfId="0" applyAlignment="1" applyBorder="1" applyFont="1" applyNumberFormat="1">
      <alignment horizontal="center" readingOrder="0" vertical="center"/>
    </xf>
    <xf borderId="0" fillId="0" fontId="21" numFmtId="166" xfId="0" applyAlignment="1" applyFont="1" applyNumberFormat="1">
      <alignment horizontal="center" readingOrder="0" vertical="center"/>
    </xf>
    <xf borderId="0" fillId="0" fontId="16" numFmtId="49" xfId="0" applyAlignment="1" applyFont="1" applyNumberFormat="1">
      <alignment horizontal="left" shrinkToFit="0" vertical="top" wrapText="0"/>
    </xf>
    <xf borderId="0" fillId="2" fontId="17" numFmtId="169" xfId="0" applyAlignment="1" applyFont="1" applyNumberFormat="1">
      <alignment horizontal="center" readingOrder="0"/>
    </xf>
    <xf borderId="0" fillId="0" fontId="24" numFmtId="166" xfId="0" applyAlignment="1" applyFont="1" applyNumberFormat="1">
      <alignment horizontal="left" readingOrder="0" vertical="center"/>
    </xf>
    <xf borderId="0" fillId="0" fontId="20" numFmtId="166" xfId="0" applyAlignment="1" applyFont="1" applyNumberFormat="1">
      <alignment horizontal="center" readingOrder="0" vertical="center"/>
    </xf>
    <xf borderId="1" fillId="0" fontId="24" numFmtId="49" xfId="0" applyAlignment="1" applyBorder="1" applyFont="1" applyNumberFormat="1">
      <alignment horizontal="left" readingOrder="0"/>
    </xf>
    <xf borderId="1" fillId="0" fontId="20" numFmtId="49" xfId="0" applyAlignment="1" applyBorder="1" applyFont="1" applyNumberFormat="1">
      <alignment horizontal="left" readingOrder="0"/>
    </xf>
    <xf borderId="1" fillId="0" fontId="20" numFmtId="41" xfId="0" applyAlignment="1" applyBorder="1" applyFont="1" applyNumberFormat="1">
      <alignment horizontal="right" readingOrder="0" vertical="center"/>
    </xf>
    <xf borderId="0" fillId="0" fontId="20" numFmtId="41" xfId="0" applyAlignment="1" applyFont="1" applyNumberFormat="1">
      <alignment horizontal="right" readingOrder="0" vertical="center"/>
    </xf>
    <xf borderId="0" fillId="0" fontId="25" numFmtId="49" xfId="0" applyAlignment="1" applyFont="1" applyNumberFormat="1">
      <alignment shrinkToFit="0" vertical="center" wrapText="1"/>
    </xf>
    <xf borderId="0" fillId="0" fontId="20" numFmtId="49" xfId="0" applyAlignment="1" applyFont="1" applyNumberFormat="1">
      <alignment readingOrder="0" shrinkToFit="0" vertical="center" wrapText="1"/>
    </xf>
    <xf borderId="0" fillId="0" fontId="25" numFmtId="41" xfId="0" applyAlignment="1" applyFont="1" applyNumberFormat="1">
      <alignment horizontal="right" readingOrder="0"/>
    </xf>
    <xf borderId="0" fillId="0" fontId="24" numFmtId="49" xfId="0" applyAlignment="1" applyFont="1" applyNumberFormat="1">
      <alignment horizontal="left" readingOrder="0" shrinkToFit="0" vertical="center" wrapText="0"/>
    </xf>
    <xf borderId="0" fillId="0" fontId="24" numFmtId="49" xfId="0" applyAlignment="1" applyFont="1" applyNumberFormat="1">
      <alignment readingOrder="0" shrinkToFit="0" vertical="center" wrapText="1"/>
    </xf>
    <xf borderId="0" fillId="0" fontId="26" numFmtId="41" xfId="0" applyAlignment="1" applyFont="1" applyNumberFormat="1">
      <alignment horizontal="right" readingOrder="0"/>
    </xf>
    <xf borderId="1" fillId="0" fontId="20" numFmtId="49" xfId="0" applyAlignment="1" applyBorder="1" applyFont="1" applyNumberFormat="1">
      <alignment horizontal="center" shrinkToFit="0" vertical="center" wrapText="1"/>
    </xf>
    <xf borderId="1" fillId="0" fontId="20" numFmtId="49" xfId="0" applyAlignment="1" applyBorder="1" applyFont="1" applyNumberFormat="1">
      <alignment shrinkToFit="0" vertical="center" wrapText="1"/>
    </xf>
    <xf borderId="1" fillId="0" fontId="20" numFmtId="41" xfId="0" applyAlignment="1" applyBorder="1" applyFont="1" applyNumberFormat="1">
      <alignment horizontal="right" readingOrder="0"/>
    </xf>
    <xf borderId="0" fillId="0" fontId="20" numFmtId="41" xfId="0" applyAlignment="1" applyFont="1" applyNumberFormat="1">
      <alignment horizontal="right"/>
    </xf>
    <xf borderId="1" fillId="0" fontId="24" numFmtId="41" xfId="0" applyAlignment="1" applyBorder="1" applyFont="1" applyNumberFormat="1">
      <alignment horizontal="right" readingOrder="0" vertical="center"/>
    </xf>
    <xf borderId="0" fillId="0" fontId="24" numFmtId="41" xfId="0" applyAlignment="1" applyFont="1" applyNumberFormat="1">
      <alignment horizontal="right" readingOrder="0" vertical="center"/>
    </xf>
    <xf borderId="0" fillId="0" fontId="26" numFmtId="41" xfId="0" applyAlignment="1" applyFont="1" applyNumberFormat="1">
      <alignment horizontal="right" readingOrder="0" shrinkToFit="0" vertical="top" wrapText="0"/>
    </xf>
    <xf borderId="0" fillId="0" fontId="25" numFmtId="49" xfId="0" applyAlignment="1" applyFont="1" applyNumberFormat="1">
      <alignment readingOrder="0" shrinkToFit="0" vertical="center" wrapText="1"/>
    </xf>
    <xf borderId="0" fillId="0" fontId="25" numFmtId="0" xfId="0" applyFont="1"/>
    <xf borderId="0" fillId="0" fontId="25" numFmtId="0" xfId="0" applyAlignment="1" applyFont="1">
      <alignment readingOrder="0"/>
    </xf>
    <xf borderId="1" fillId="0" fontId="20" numFmtId="41" xfId="0" applyAlignment="1" applyBorder="1" applyFont="1" applyNumberFormat="1">
      <alignment horizontal="right"/>
    </xf>
    <xf borderId="0" fillId="0" fontId="20" numFmtId="41" xfId="0" applyAlignment="1" applyFont="1" applyNumberFormat="1">
      <alignment horizontal="right" readingOrder="0" shrinkToFit="0" vertical="top" wrapText="0"/>
    </xf>
    <xf borderId="0" fillId="0" fontId="24" numFmtId="41" xfId="0" applyAlignment="1" applyFont="1" applyNumberFormat="1">
      <alignment horizontal="right" readingOrder="0" shrinkToFit="0" vertical="top" wrapText="0"/>
    </xf>
    <xf borderId="0" fillId="0" fontId="20" numFmtId="41" xfId="0" applyAlignment="1" applyFont="1" applyNumberFormat="1">
      <alignment horizontal="right" shrinkToFit="0" vertical="top" wrapText="0"/>
    </xf>
    <xf borderId="0" fillId="2" fontId="17" numFmtId="49" xfId="0" applyAlignment="1" applyFont="1" applyNumberFormat="1">
      <alignment horizontal="center" readingOrder="0"/>
    </xf>
    <xf borderId="15" fillId="0" fontId="27" numFmtId="0" xfId="0" applyAlignment="1" applyBorder="1" applyFont="1">
      <alignment horizontal="center" readingOrder="0" shrinkToFit="0" wrapText="1"/>
    </xf>
    <xf borderId="1" fillId="0" fontId="11" numFmtId="41" xfId="0" applyAlignment="1" applyBorder="1" applyFont="1" applyNumberFormat="1">
      <alignment horizontal="center" readingOrder="0" vertical="center"/>
    </xf>
    <xf borderId="0" fillId="0" fontId="10" numFmtId="41" xfId="0" applyAlignment="1" applyFont="1" applyNumberFormat="1">
      <alignment horizontal="left" readingOrder="0" shrinkToFit="0" vertical="top" wrapText="0"/>
    </xf>
    <xf borderId="0" fillId="0" fontId="10" numFmtId="41" xfId="0" applyAlignment="1" applyFont="1" applyNumberFormat="1">
      <alignment readingOrder="0"/>
    </xf>
    <xf borderId="0" fillId="0" fontId="12" numFmtId="49" xfId="0" applyAlignment="1" applyFont="1" applyNumberFormat="1">
      <alignment readingOrder="0" shrinkToFit="0" vertical="center" wrapText="1"/>
    </xf>
    <xf borderId="0" fillId="0" fontId="10" numFmtId="0" xfId="0" applyAlignment="1" applyFont="1">
      <alignment readingOrder="0"/>
    </xf>
    <xf borderId="0" fillId="0" fontId="13" numFmtId="49" xfId="0" applyAlignment="1" applyFont="1" applyNumberFormat="1">
      <alignment readingOrder="0" shrinkToFit="0" vertical="center" wrapText="1"/>
    </xf>
    <xf borderId="0" fillId="0" fontId="28" numFmtId="3" xfId="0" applyAlignment="1" applyFont="1" applyNumberFormat="1">
      <alignment readingOrder="0"/>
    </xf>
    <xf borderId="1" fillId="0" fontId="16" numFmtId="49" xfId="0" applyAlignment="1" applyBorder="1" applyFont="1" applyNumberFormat="1">
      <alignment horizontal="center" shrinkToFit="0" vertical="center" wrapText="1"/>
    </xf>
    <xf borderId="1" fillId="0" fontId="16" numFmtId="49" xfId="0" applyAlignment="1" applyBorder="1" applyFont="1" applyNumberFormat="1">
      <alignment shrinkToFit="0" vertical="center" wrapText="1"/>
    </xf>
    <xf borderId="1" fillId="0" fontId="16" numFmtId="0" xfId="0" applyAlignment="1" applyBorder="1" applyFont="1">
      <alignment readingOrder="0"/>
    </xf>
    <xf borderId="0" fillId="0" fontId="11" numFmtId="41" xfId="0" applyAlignment="1" applyFont="1" applyNumberFormat="1">
      <alignment horizontal="center" readingOrder="0" vertical="center"/>
    </xf>
    <xf borderId="1" fillId="0" fontId="21" numFmtId="41" xfId="0" applyAlignment="1" applyBorder="1" applyFont="1" applyNumberFormat="1">
      <alignment horizontal="center" readingOrder="0" vertical="center"/>
    </xf>
    <xf borderId="0" fillId="0" fontId="28" numFmtId="41" xfId="0" applyAlignment="1" applyFont="1" applyNumberFormat="1">
      <alignment horizontal="left" readingOrder="0" shrinkToFit="0" vertical="top" wrapText="0"/>
    </xf>
    <xf borderId="0" fillId="0" fontId="29" numFmtId="49" xfId="0" applyAlignment="1" applyFont="1" applyNumberFormat="1">
      <alignment vertical="bottom"/>
    </xf>
    <xf borderId="0" fillId="0" fontId="10" numFmtId="49" xfId="0" applyAlignment="1" applyFont="1" applyNumberFormat="1">
      <alignment readingOrder="0" shrinkToFit="0" vertical="center" wrapText="1"/>
    </xf>
    <xf borderId="1" fillId="0" fontId="16" numFmtId="0" xfId="0" applyBorder="1" applyFont="1"/>
    <xf borderId="0" fillId="0" fontId="10" numFmtId="41" xfId="0" applyFont="1" applyNumberFormat="1"/>
    <xf borderId="0" fillId="0" fontId="28" numFmtId="41" xfId="0" applyAlignment="1" applyFont="1" applyNumberFormat="1">
      <alignment readingOrder="0"/>
    </xf>
    <xf borderId="1" fillId="0" fontId="30" numFmtId="49" xfId="0" applyAlignment="1" applyBorder="1" applyFont="1" applyNumberFormat="1">
      <alignment horizontal="left" readingOrder="0" shrinkToFit="0" vertical="center" wrapText="1"/>
    </xf>
    <xf borderId="16" fillId="0" fontId="11" numFmtId="166" xfId="0" applyAlignment="1" applyBorder="1" applyFont="1" applyNumberFormat="1">
      <alignment horizontal="center" readingOrder="0" vertical="center"/>
    </xf>
    <xf borderId="0" fillId="0" fontId="10" numFmtId="3" xfId="0" applyAlignment="1" applyFont="1" applyNumberFormat="1">
      <alignment horizontal="center" readingOrder="0"/>
    </xf>
    <xf borderId="0" fillId="0" fontId="10" numFmtId="166" xfId="0" applyAlignment="1" applyFont="1" applyNumberFormat="1">
      <alignment horizontal="center" readingOrder="0"/>
    </xf>
    <xf borderId="0" fillId="0" fontId="13" numFmtId="166" xfId="0" applyAlignment="1" applyFont="1" applyNumberFormat="1">
      <alignment horizontal="center" readingOrder="0"/>
    </xf>
    <xf borderId="1" fillId="0" fontId="11" numFmtId="0" xfId="0" applyAlignment="1" applyBorder="1" applyFont="1">
      <alignment horizontal="right" readingOrder="0" vertical="center"/>
    </xf>
    <xf borderId="0" fillId="0" fontId="10" numFmtId="0" xfId="0" applyAlignment="1" applyFont="1">
      <alignment horizontal="right" readingOrder="0" shrinkToFit="0" vertical="top" wrapText="0"/>
    </xf>
    <xf borderId="0" fillId="0" fontId="16" numFmtId="49" xfId="0" applyAlignment="1" applyFont="1" applyNumberFormat="1">
      <alignment readingOrder="0" shrinkToFit="0" vertical="center" wrapText="1"/>
    </xf>
    <xf borderId="1" fillId="0" fontId="21" numFmtId="166" xfId="0" applyAlignment="1" applyBorder="1" applyFont="1" applyNumberFormat="1">
      <alignment horizontal="left" readingOrder="0" vertical="center"/>
    </xf>
    <xf borderId="0" fillId="2" fontId="4" numFmtId="49" xfId="0" applyAlignment="1" applyFont="1" applyNumberFormat="1">
      <alignment horizontal="center" readingOrder="0" shrinkToFit="0" vertical="center" wrapText="0"/>
    </xf>
    <xf borderId="0" fillId="0" fontId="31" numFmtId="0" xfId="0" applyAlignment="1" applyFont="1">
      <alignment horizontal="center" shrinkToFit="0" wrapText="0"/>
    </xf>
    <xf borderId="17" fillId="0" fontId="32" numFmtId="0" xfId="0" applyAlignment="1" applyBorder="1" applyFont="1">
      <alignment horizontal="center" readingOrder="0" shrinkToFit="0" wrapText="0"/>
    </xf>
    <xf borderId="18" fillId="0" fontId="15" numFmtId="0" xfId="0" applyBorder="1" applyFont="1"/>
    <xf borderId="0" fillId="0" fontId="32" numFmtId="0" xfId="0" applyAlignment="1" applyFont="1">
      <alignment horizontal="center" readingOrder="0" shrinkToFit="0" wrapText="0"/>
    </xf>
    <xf borderId="19" fillId="0" fontId="15" numFmtId="0" xfId="0" applyBorder="1" applyFont="1"/>
    <xf borderId="0" fillId="0" fontId="31" numFmtId="0" xfId="0" applyAlignment="1" applyFont="1">
      <alignment horizontal="left" readingOrder="0" shrinkToFit="0" wrapText="0"/>
    </xf>
    <xf borderId="20" fillId="0" fontId="31" numFmtId="0" xfId="0" applyAlignment="1" applyBorder="1" applyFont="1">
      <alignment horizontal="left" readingOrder="0" shrinkToFit="0" wrapText="0"/>
    </xf>
    <xf borderId="20" fillId="0" fontId="31" numFmtId="0" xfId="0" applyAlignment="1" applyBorder="1" applyFont="1">
      <alignment horizontal="center" readingOrder="0" shrinkToFit="0" wrapText="0"/>
    </xf>
    <xf borderId="21" fillId="0" fontId="31" numFmtId="0" xfId="0" applyAlignment="1" applyBorder="1" applyFont="1">
      <alignment horizontal="center" readingOrder="0" shrinkToFit="0" wrapText="0"/>
    </xf>
    <xf borderId="0" fillId="0" fontId="31" numFmtId="0" xfId="0" applyAlignment="1" applyFont="1">
      <alignment readingOrder="0" shrinkToFit="0" vertical="bottom" wrapText="0"/>
    </xf>
    <xf borderId="0" fillId="0" fontId="31" numFmtId="3" xfId="0" applyAlignment="1" applyFont="1" applyNumberFormat="1">
      <alignment horizontal="center" readingOrder="0" shrinkToFit="0" vertical="bottom" wrapText="0"/>
    </xf>
    <xf borderId="19" fillId="0" fontId="31" numFmtId="3" xfId="0" applyAlignment="1" applyBorder="1" applyFont="1" applyNumberFormat="1">
      <alignment horizontal="center" readingOrder="0" shrinkToFit="0" vertical="bottom" wrapText="0"/>
    </xf>
    <xf borderId="2" fillId="2" fontId="33" numFmtId="49" xfId="0" applyAlignment="1" applyBorder="1" applyFont="1" applyNumberFormat="1">
      <alignment horizontal="center" readingOrder="0" shrinkToFit="0" vertical="center" wrapText="0"/>
    </xf>
    <xf borderId="0" fillId="0" fontId="6" numFmtId="3" xfId="0" applyAlignment="1" applyFont="1" applyNumberFormat="1">
      <alignment horizontal="center" readingOrder="0"/>
    </xf>
    <xf borderId="22" fillId="0" fontId="6" numFmtId="3" xfId="0" applyBorder="1" applyFont="1" applyNumberFormat="1"/>
    <xf borderId="0" fillId="0" fontId="6" numFmtId="3" xfId="0" applyAlignment="1" applyFont="1" applyNumberFormat="1">
      <alignment horizontal="center" readingOrder="0" vertical="center"/>
    </xf>
    <xf borderId="0" fillId="0" fontId="11" numFmtId="166" xfId="0" applyAlignment="1" applyFont="1" applyNumberFormat="1">
      <alignment readingOrder="0"/>
    </xf>
    <xf borderId="22" fillId="0" fontId="11" numFmtId="166" xfId="0" applyAlignment="1" applyBorder="1" applyFont="1" applyNumberFormat="1">
      <alignment readingOrder="0"/>
    </xf>
    <xf borderId="0" fillId="6" fontId="11" numFmtId="166" xfId="0" applyAlignment="1" applyFill="1" applyFont="1" applyNumberFormat="1">
      <alignment horizontal="left" readingOrder="0" vertical="center"/>
    </xf>
    <xf borderId="0" fillId="0" fontId="11" numFmtId="49" xfId="0" applyAlignment="1" applyFont="1" applyNumberFormat="1">
      <alignment readingOrder="0" shrinkToFit="0" vertical="center" wrapText="1"/>
    </xf>
    <xf borderId="0" fillId="0" fontId="11" numFmtId="166" xfId="0" applyAlignment="1" applyFont="1" applyNumberFormat="1">
      <alignment horizontal="left" readingOrder="0" shrinkToFit="0" vertical="center" wrapText="1"/>
    </xf>
    <xf borderId="0" fillId="0" fontId="9" numFmtId="164" xfId="0" applyAlignment="1" applyFont="1" applyNumberFormat="1">
      <alignment horizontal="center" readingOrder="0" vertical="center"/>
    </xf>
    <xf borderId="22" fillId="0" fontId="15" numFmtId="0" xfId="0" applyBorder="1" applyFont="1"/>
    <xf borderId="1" fillId="0" fontId="34" numFmtId="49" xfId="0" applyAlignment="1" applyBorder="1" applyFont="1" applyNumberFormat="1">
      <alignment horizontal="left" shrinkToFit="0" vertical="center" wrapText="1"/>
    </xf>
    <xf borderId="1" fillId="0" fontId="35" numFmtId="3" xfId="0" applyAlignment="1" applyBorder="1" applyFont="1" applyNumberFormat="1">
      <alignment horizontal="center" readingOrder="0" shrinkToFit="0" vertical="center" wrapText="1"/>
    </xf>
    <xf borderId="1" fillId="0" fontId="35" numFmtId="3" xfId="0" applyAlignment="1" applyBorder="1" applyFont="1" applyNumberForma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xdr:colOff>
      <xdr:row>2</xdr:row>
      <xdr:rowOff>19050</xdr:rowOff>
    </xdr:from>
    <xdr:ext cx="657225" cy="352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xdr:colOff>
      <xdr:row>2</xdr:row>
      <xdr:rowOff>19050</xdr:rowOff>
    </xdr:from>
    <xdr:ext cx="657225" cy="3524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2</xdr:row>
      <xdr:rowOff>19050</xdr:rowOff>
    </xdr:from>
    <xdr:ext cx="657225" cy="352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xdr:colOff>
      <xdr:row>2</xdr:row>
      <xdr:rowOff>19050</xdr:rowOff>
    </xdr:from>
    <xdr:ext cx="657225" cy="352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19050</xdr:colOff>
      <xdr:row>2</xdr:row>
      <xdr:rowOff>19050</xdr:rowOff>
    </xdr:from>
    <xdr:ext cx="657225" cy="352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47625</xdr:colOff>
      <xdr:row>2</xdr:row>
      <xdr:rowOff>19050</xdr:rowOff>
    </xdr:from>
    <xdr:ext cx="657225" cy="3524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19050</xdr:colOff>
      <xdr:row>2</xdr:row>
      <xdr:rowOff>19050</xdr:rowOff>
    </xdr:from>
    <xdr:ext cx="666750" cy="3619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2</xdr:row>
      <xdr:rowOff>19050</xdr:rowOff>
    </xdr:from>
    <xdr:ext cx="657225" cy="352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2</xdr:row>
      <xdr:rowOff>19050</xdr:rowOff>
    </xdr:from>
    <xdr:ext cx="657225" cy="352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2</xdr:row>
      <xdr:rowOff>19050</xdr:rowOff>
    </xdr:from>
    <xdr:ext cx="657225" cy="352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2</xdr:row>
      <xdr:rowOff>19050</xdr:rowOff>
    </xdr:from>
    <xdr:ext cx="657225" cy="352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2</xdr:row>
      <xdr:rowOff>19050</xdr:rowOff>
    </xdr:from>
    <xdr:ext cx="657225" cy="352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2</xdr:row>
      <xdr:rowOff>28575</xdr:rowOff>
    </xdr:from>
    <xdr:ext cx="657225" cy="352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1</xdr:row>
      <xdr:rowOff>123825</xdr:rowOff>
    </xdr:from>
    <xdr:ext cx="657225" cy="3524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xdr:colOff>
      <xdr:row>2</xdr:row>
      <xdr:rowOff>19050</xdr:rowOff>
    </xdr:from>
    <xdr:ext cx="657225" cy="3524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2.75"/>
    <col customWidth="1" min="4" max="4" width="68.13"/>
    <col customWidth="1" min="5" max="9" width="14.0"/>
  </cols>
  <sheetData>
    <row r="1">
      <c r="A1" s="1"/>
      <c r="B1" s="1"/>
      <c r="C1" s="1"/>
      <c r="D1" s="1"/>
      <c r="E1" s="2"/>
      <c r="F1" s="3"/>
      <c r="G1" s="3"/>
      <c r="H1" s="3"/>
      <c r="I1" s="3"/>
    </row>
    <row r="2" ht="6.75" customHeight="1">
      <c r="A2" s="1"/>
      <c r="B2" s="4"/>
      <c r="C2" s="4"/>
      <c r="D2" s="4"/>
      <c r="E2" s="5"/>
      <c r="F2" s="6"/>
      <c r="G2" s="6"/>
      <c r="H2" s="6"/>
      <c r="I2" s="6"/>
    </row>
    <row r="3">
      <c r="A3" s="1"/>
      <c r="B3" s="4"/>
      <c r="C3" s="4"/>
      <c r="D3" s="4"/>
      <c r="E3" s="5"/>
      <c r="F3" s="6"/>
      <c r="G3" s="6"/>
      <c r="H3" s="6"/>
      <c r="I3" s="6"/>
    </row>
    <row r="4">
      <c r="A4" s="1"/>
      <c r="B4" s="4"/>
      <c r="C4" s="4"/>
      <c r="D4" s="4"/>
      <c r="E4" s="5"/>
      <c r="F4" s="6"/>
      <c r="G4" s="6"/>
      <c r="H4" s="6"/>
      <c r="I4" s="6"/>
    </row>
    <row r="5">
      <c r="A5" s="7"/>
      <c r="B5" s="8"/>
      <c r="C5" s="9" t="s">
        <v>0</v>
      </c>
      <c r="D5" s="4"/>
      <c r="E5" s="5"/>
      <c r="F5" s="6"/>
      <c r="G5" s="6"/>
      <c r="H5" s="6"/>
      <c r="I5" s="6"/>
    </row>
    <row r="6">
      <c r="A6" s="1"/>
      <c r="B6" s="4"/>
      <c r="C6" s="4"/>
      <c r="D6" s="4"/>
      <c r="E6" s="5" t="s">
        <v>1</v>
      </c>
      <c r="F6" s="6" t="s">
        <v>2</v>
      </c>
      <c r="G6" s="6" t="s">
        <v>3</v>
      </c>
      <c r="H6" s="6" t="s">
        <v>4</v>
      </c>
      <c r="I6" s="6" t="s">
        <v>5</v>
      </c>
    </row>
    <row r="7">
      <c r="A7" s="10"/>
      <c r="B7" s="11"/>
      <c r="C7" s="12" t="s">
        <v>6</v>
      </c>
      <c r="D7" s="13"/>
      <c r="E7" s="14">
        <v>45291.0</v>
      </c>
      <c r="F7" s="14">
        <f t="shared" ref="F7:I7" si="1">E7-95</f>
        <v>45196</v>
      </c>
      <c r="G7" s="14">
        <f t="shared" si="1"/>
        <v>45101</v>
      </c>
      <c r="H7" s="14">
        <f t="shared" si="1"/>
        <v>45006</v>
      </c>
      <c r="I7" s="14">
        <f t="shared" si="1"/>
        <v>44911</v>
      </c>
    </row>
    <row r="8">
      <c r="A8" s="15"/>
      <c r="B8" s="15"/>
      <c r="C8" s="16" t="s">
        <v>7</v>
      </c>
      <c r="D8" s="17"/>
      <c r="E8" s="18"/>
      <c r="F8" s="18"/>
      <c r="G8" s="19"/>
      <c r="H8" s="19"/>
      <c r="I8" s="19"/>
    </row>
    <row r="9">
      <c r="A9" s="20"/>
      <c r="B9" s="20"/>
      <c r="C9" s="20" t="s">
        <v>8</v>
      </c>
      <c r="D9" s="21" t="s">
        <v>9</v>
      </c>
      <c r="E9" s="22">
        <v>1.0672167752E10</v>
      </c>
      <c r="F9" s="22">
        <v>8.885360617E9</v>
      </c>
      <c r="G9" s="23"/>
      <c r="H9" s="23"/>
      <c r="I9" s="23"/>
    </row>
    <row r="10">
      <c r="A10" s="20"/>
      <c r="B10" s="20"/>
      <c r="C10" s="20" t="s">
        <v>10</v>
      </c>
      <c r="D10" s="21" t="s">
        <v>11</v>
      </c>
      <c r="E10" s="22">
        <v>1.1637887627E10</v>
      </c>
      <c r="F10" s="22">
        <v>9.613879904E9</v>
      </c>
      <c r="G10" s="23"/>
      <c r="H10" s="23"/>
      <c r="I10" s="23"/>
    </row>
    <row r="11">
      <c r="A11" s="20"/>
      <c r="B11" s="20"/>
      <c r="C11" s="20" t="s">
        <v>12</v>
      </c>
      <c r="D11" s="21" t="s">
        <v>13</v>
      </c>
      <c r="E11" s="22">
        <v>1.2770894732E10</v>
      </c>
      <c r="F11" s="22">
        <v>1.0707752042E10</v>
      </c>
      <c r="G11" s="23"/>
      <c r="H11" s="23"/>
      <c r="I11" s="23"/>
    </row>
    <row r="12">
      <c r="A12" s="20"/>
      <c r="B12" s="20"/>
      <c r="C12" s="20" t="s">
        <v>14</v>
      </c>
      <c r="D12" s="21" t="s">
        <v>15</v>
      </c>
      <c r="E12" s="22" t="s">
        <v>16</v>
      </c>
      <c r="F12" s="22" t="s">
        <v>16</v>
      </c>
      <c r="G12" s="23"/>
      <c r="H12" s="23"/>
      <c r="I12" s="23"/>
    </row>
    <row r="13">
      <c r="A13" s="20"/>
      <c r="B13" s="20"/>
      <c r="C13" s="20" t="s">
        <v>17</v>
      </c>
      <c r="D13" s="21" t="s">
        <v>18</v>
      </c>
      <c r="E13" s="22" t="s">
        <v>16</v>
      </c>
      <c r="F13" s="22" t="s">
        <v>16</v>
      </c>
      <c r="G13" s="23"/>
      <c r="H13" s="23"/>
      <c r="I13" s="23"/>
    </row>
    <row r="14">
      <c r="A14" s="15"/>
      <c r="B14" s="15"/>
      <c r="C14" s="24" t="s">
        <v>19</v>
      </c>
      <c r="D14" s="25"/>
      <c r="E14" s="26"/>
      <c r="F14" s="26"/>
      <c r="G14" s="27"/>
      <c r="H14" s="27"/>
      <c r="I14" s="27"/>
    </row>
    <row r="15">
      <c r="A15" s="20"/>
      <c r="B15" s="20"/>
      <c r="C15" s="20" t="s">
        <v>20</v>
      </c>
      <c r="D15" s="21" t="s">
        <v>21</v>
      </c>
      <c r="E15" s="22">
        <v>9.3557039207E10</v>
      </c>
      <c r="F15" s="22">
        <v>9.7458504359E10</v>
      </c>
      <c r="G15" s="23"/>
      <c r="H15" s="23"/>
      <c r="I15" s="23"/>
    </row>
    <row r="16">
      <c r="A16" s="15"/>
      <c r="B16" s="15"/>
      <c r="C16" s="24" t="s">
        <v>22</v>
      </c>
      <c r="D16" s="25"/>
      <c r="E16" s="26"/>
      <c r="F16" s="26"/>
      <c r="G16" s="27"/>
      <c r="H16" s="27"/>
      <c r="I16" s="27"/>
    </row>
    <row r="17">
      <c r="A17" s="20"/>
      <c r="B17" s="20"/>
      <c r="C17" s="20" t="s">
        <v>23</v>
      </c>
      <c r="D17" s="21" t="s">
        <v>24</v>
      </c>
      <c r="E17" s="28">
        <v>0.1141</v>
      </c>
      <c r="F17" s="28">
        <v>0.0912</v>
      </c>
      <c r="G17" s="29"/>
      <c r="H17" s="29"/>
      <c r="I17" s="29"/>
    </row>
    <row r="18">
      <c r="A18" s="20"/>
      <c r="B18" s="20"/>
      <c r="C18" s="20" t="s">
        <v>25</v>
      </c>
      <c r="D18" s="30" t="s">
        <v>26</v>
      </c>
      <c r="E18" s="28">
        <v>0.1244</v>
      </c>
      <c r="F18" s="28">
        <v>0.0986</v>
      </c>
      <c r="G18" s="29"/>
      <c r="H18" s="29"/>
      <c r="I18" s="29"/>
    </row>
    <row r="19">
      <c r="A19" s="20"/>
      <c r="B19" s="20"/>
      <c r="C19" s="20" t="s">
        <v>27</v>
      </c>
      <c r="D19" s="30" t="s">
        <v>28</v>
      </c>
      <c r="E19" s="28">
        <v>0.1365</v>
      </c>
      <c r="F19" s="28">
        <v>0.1099</v>
      </c>
      <c r="G19" s="29"/>
      <c r="H19" s="29"/>
      <c r="I19" s="29"/>
    </row>
    <row r="20">
      <c r="A20" s="15"/>
      <c r="B20" s="15"/>
      <c r="C20" s="24" t="s">
        <v>29</v>
      </c>
      <c r="D20" s="25"/>
      <c r="E20" s="26"/>
      <c r="F20" s="26"/>
      <c r="G20" s="27"/>
      <c r="H20" s="27"/>
      <c r="I20" s="27"/>
    </row>
    <row r="21">
      <c r="A21" s="20"/>
      <c r="B21" s="20"/>
      <c r="C21" s="20" t="s">
        <v>30</v>
      </c>
      <c r="D21" s="21" t="s">
        <v>31</v>
      </c>
      <c r="E21" s="28">
        <v>0.0</v>
      </c>
      <c r="F21" s="28">
        <v>0.0</v>
      </c>
      <c r="G21" s="29"/>
      <c r="H21" s="29"/>
      <c r="I21" s="29"/>
    </row>
    <row r="22">
      <c r="A22" s="20"/>
      <c r="B22" s="20"/>
      <c r="C22" s="20" t="s">
        <v>32</v>
      </c>
      <c r="D22" s="21" t="s">
        <v>33</v>
      </c>
      <c r="E22" s="28">
        <v>0.0</v>
      </c>
      <c r="F22" s="28">
        <v>0.0</v>
      </c>
      <c r="G22" s="29"/>
      <c r="H22" s="29"/>
      <c r="I22" s="29"/>
    </row>
    <row r="23">
      <c r="A23" s="20"/>
      <c r="B23" s="20"/>
      <c r="C23" s="20" t="s">
        <v>34</v>
      </c>
      <c r="D23" s="21" t="s">
        <v>35</v>
      </c>
      <c r="E23" s="28">
        <v>0.0</v>
      </c>
      <c r="F23" s="28">
        <v>0.0</v>
      </c>
      <c r="G23" s="29"/>
      <c r="H23" s="29"/>
      <c r="I23" s="29"/>
    </row>
    <row r="24">
      <c r="A24" s="20"/>
      <c r="B24" s="20"/>
      <c r="C24" s="20" t="s">
        <v>36</v>
      </c>
      <c r="D24" s="21" t="s">
        <v>37</v>
      </c>
      <c r="E24" s="28">
        <v>0.0</v>
      </c>
      <c r="F24" s="28">
        <v>0.0</v>
      </c>
      <c r="G24" s="29"/>
      <c r="H24" s="29"/>
      <c r="I24" s="29"/>
    </row>
    <row r="25">
      <c r="A25" s="20"/>
      <c r="B25" s="20"/>
      <c r="C25" s="20" t="s">
        <v>38</v>
      </c>
      <c r="D25" s="21" t="s">
        <v>39</v>
      </c>
      <c r="E25" s="28">
        <v>0.0691</v>
      </c>
      <c r="F25" s="28">
        <v>0.0462</v>
      </c>
      <c r="G25" s="29"/>
      <c r="H25" s="29"/>
      <c r="I25" s="29"/>
    </row>
    <row r="26">
      <c r="A26" s="15"/>
      <c r="B26" s="15"/>
      <c r="C26" s="24" t="s">
        <v>40</v>
      </c>
      <c r="D26" s="25"/>
      <c r="E26" s="26"/>
      <c r="F26" s="26"/>
      <c r="G26" s="27"/>
      <c r="H26" s="27"/>
      <c r="I26" s="27"/>
    </row>
    <row r="27">
      <c r="A27" s="20"/>
      <c r="B27" s="20"/>
      <c r="C27" s="20" t="s">
        <v>41</v>
      </c>
      <c r="D27" s="21" t="s">
        <v>42</v>
      </c>
      <c r="E27" s="22" t="s">
        <v>43</v>
      </c>
      <c r="F27" s="22" t="s">
        <v>43</v>
      </c>
      <c r="G27" s="23"/>
      <c r="H27" s="23"/>
      <c r="I27" s="23"/>
    </row>
    <row r="28">
      <c r="A28" s="20"/>
      <c r="B28" s="20"/>
      <c r="C28" s="20" t="s">
        <v>44</v>
      </c>
      <c r="D28" s="21" t="s">
        <v>45</v>
      </c>
      <c r="E28" s="22" t="s">
        <v>43</v>
      </c>
      <c r="F28" s="22" t="s">
        <v>43</v>
      </c>
      <c r="G28" s="23"/>
      <c r="H28" s="23"/>
      <c r="I28" s="23"/>
    </row>
    <row r="29">
      <c r="A29" s="15"/>
      <c r="B29" s="15"/>
      <c r="C29" s="24" t="s">
        <v>46</v>
      </c>
      <c r="D29" s="25"/>
      <c r="E29" s="26"/>
      <c r="F29" s="26"/>
      <c r="G29" s="27"/>
      <c r="H29" s="27"/>
      <c r="I29" s="27"/>
    </row>
    <row r="30">
      <c r="A30" s="20"/>
      <c r="B30" s="20"/>
      <c r="C30" s="20" t="s">
        <v>47</v>
      </c>
      <c r="D30" s="21" t="s">
        <v>48</v>
      </c>
      <c r="E30" s="22" t="s">
        <v>43</v>
      </c>
      <c r="F30" s="22" t="s">
        <v>43</v>
      </c>
      <c r="G30" s="23"/>
      <c r="H30" s="23"/>
      <c r="I30" s="23"/>
    </row>
    <row r="31">
      <c r="A31" s="20"/>
      <c r="B31" s="20"/>
      <c r="C31" s="20" t="s">
        <v>49</v>
      </c>
      <c r="D31" s="21" t="s">
        <v>50</v>
      </c>
      <c r="E31" s="22" t="s">
        <v>43</v>
      </c>
      <c r="F31" s="22" t="s">
        <v>43</v>
      </c>
      <c r="G31" s="23"/>
      <c r="H31" s="23"/>
      <c r="I31" s="23"/>
    </row>
    <row r="32">
      <c r="A32" s="20"/>
      <c r="B32" s="20"/>
      <c r="C32" s="20" t="s">
        <v>51</v>
      </c>
      <c r="D32" s="21" t="s">
        <v>52</v>
      </c>
      <c r="E32" s="22" t="s">
        <v>43</v>
      </c>
      <c r="F32" s="22" t="s">
        <v>43</v>
      </c>
      <c r="G32" s="23"/>
      <c r="H32" s="23"/>
      <c r="I32" s="23"/>
    </row>
    <row r="33">
      <c r="A33" s="15"/>
      <c r="B33" s="15"/>
      <c r="C33" s="24" t="s">
        <v>53</v>
      </c>
      <c r="D33" s="25"/>
      <c r="E33" s="26"/>
      <c r="F33" s="26"/>
      <c r="G33" s="27"/>
      <c r="H33" s="27"/>
      <c r="I33" s="27"/>
    </row>
    <row r="34">
      <c r="A34" s="20"/>
      <c r="B34" s="20"/>
      <c r="C34" s="20" t="s">
        <v>54</v>
      </c>
      <c r="D34" s="21" t="s">
        <v>55</v>
      </c>
      <c r="E34" s="22" t="s">
        <v>43</v>
      </c>
      <c r="F34" s="22" t="s">
        <v>43</v>
      </c>
      <c r="G34" s="23"/>
      <c r="H34" s="23"/>
      <c r="I34" s="23"/>
    </row>
    <row r="35">
      <c r="A35" s="20"/>
      <c r="B35" s="20"/>
      <c r="C35" s="20" t="s">
        <v>56</v>
      </c>
      <c r="D35" s="21" t="s">
        <v>57</v>
      </c>
      <c r="E35" s="22" t="s">
        <v>43</v>
      </c>
      <c r="F35" s="22" t="s">
        <v>43</v>
      </c>
      <c r="G35" s="23"/>
      <c r="H35" s="23"/>
      <c r="I35" s="23"/>
    </row>
    <row r="36">
      <c r="A36" s="20"/>
      <c r="B36" s="20"/>
      <c r="C36" s="20" t="s">
        <v>58</v>
      </c>
      <c r="D36" s="21" t="s">
        <v>59</v>
      </c>
      <c r="E36" s="22" t="s">
        <v>43</v>
      </c>
      <c r="F36" s="22" t="s">
        <v>43</v>
      </c>
      <c r="G36" s="23"/>
      <c r="H36" s="23"/>
      <c r="I36" s="23"/>
    </row>
    <row r="37">
      <c r="A37" s="31"/>
      <c r="B37" s="31"/>
      <c r="C37" s="31"/>
      <c r="D37" s="32"/>
    </row>
    <row r="38">
      <c r="A38" s="33"/>
      <c r="B38" s="33"/>
      <c r="C38" s="33" t="s">
        <v>60</v>
      </c>
      <c r="D38" s="32"/>
    </row>
    <row r="39">
      <c r="A39" s="34"/>
      <c r="B39" s="34"/>
      <c r="C39" s="35" t="s">
        <v>61</v>
      </c>
      <c r="D39" s="36"/>
      <c r="E39" s="36"/>
      <c r="F39" s="36"/>
      <c r="G39" s="36"/>
      <c r="H39" s="36"/>
      <c r="I39" s="37"/>
    </row>
    <row r="40">
      <c r="A40" s="31"/>
      <c r="B40" s="31"/>
      <c r="C40" s="38"/>
      <c r="D40" s="39"/>
      <c r="E40" s="40"/>
      <c r="F40" s="40"/>
      <c r="G40" s="40"/>
      <c r="H40" s="40"/>
      <c r="I40" s="40"/>
    </row>
    <row r="41">
      <c r="A41" s="31"/>
      <c r="B41" s="31"/>
      <c r="C41" s="38"/>
      <c r="D41" s="39"/>
      <c r="E41" s="40"/>
      <c r="F41" s="40"/>
      <c r="G41" s="40"/>
      <c r="H41" s="40"/>
      <c r="I41" s="40"/>
    </row>
    <row r="42">
      <c r="A42" s="31"/>
      <c r="B42" s="31"/>
      <c r="C42" s="38"/>
      <c r="D42" s="39"/>
      <c r="E42" s="40"/>
      <c r="F42" s="40"/>
      <c r="G42" s="40"/>
      <c r="H42" s="40"/>
      <c r="I42" s="40"/>
    </row>
  </sheetData>
  <mergeCells count="1">
    <mergeCell ref="C39:H3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2.75"/>
    <col customWidth="1" min="4" max="4" width="74.0"/>
    <col customWidth="1" min="5" max="5" width="14.0"/>
    <col customWidth="1" min="6" max="6" width="15.38"/>
    <col customWidth="1" min="7" max="7" width="15.75"/>
  </cols>
  <sheetData>
    <row r="1">
      <c r="A1" s="1"/>
      <c r="B1" s="1"/>
      <c r="C1" s="1"/>
      <c r="D1" s="1"/>
      <c r="E1" s="2"/>
      <c r="F1" s="3"/>
      <c r="G1" s="3"/>
    </row>
    <row r="2" ht="6.75" customHeight="1">
      <c r="A2" s="1"/>
      <c r="B2" s="4"/>
      <c r="C2" s="4"/>
      <c r="D2" s="4"/>
      <c r="E2" s="5"/>
      <c r="F2" s="6"/>
      <c r="G2" s="6"/>
    </row>
    <row r="3">
      <c r="A3" s="1"/>
      <c r="B3" s="4"/>
      <c r="C3" s="4"/>
      <c r="D3" s="4"/>
      <c r="E3" s="5"/>
      <c r="F3" s="6"/>
      <c r="G3" s="6"/>
    </row>
    <row r="4">
      <c r="A4" s="1"/>
      <c r="B4" s="4"/>
      <c r="C4" s="4"/>
      <c r="D4" s="4"/>
      <c r="E4" s="5"/>
      <c r="F4" s="6"/>
      <c r="G4" s="6"/>
    </row>
    <row r="5">
      <c r="A5" s="7"/>
      <c r="B5" s="8"/>
      <c r="C5" s="9" t="s">
        <v>62</v>
      </c>
      <c r="D5" s="4"/>
      <c r="E5" s="5" t="s">
        <v>1</v>
      </c>
      <c r="F5" s="6" t="s">
        <v>2</v>
      </c>
      <c r="G5" s="6" t="s">
        <v>3</v>
      </c>
    </row>
    <row r="6">
      <c r="A6" s="1"/>
      <c r="B6" s="4"/>
      <c r="C6" s="4"/>
      <c r="D6" s="9"/>
      <c r="E6" s="41" t="s">
        <v>63</v>
      </c>
      <c r="F6" s="42"/>
      <c r="G6" s="43" t="s">
        <v>64</v>
      </c>
    </row>
    <row r="7">
      <c r="A7" s="10"/>
      <c r="B7" s="11"/>
      <c r="C7" s="12" t="s">
        <v>6</v>
      </c>
      <c r="D7" s="13"/>
      <c r="E7" s="44">
        <v>45291.0</v>
      </c>
      <c r="F7" s="45">
        <f>E7-95</f>
        <v>45196</v>
      </c>
      <c r="G7" s="44">
        <f>E7</f>
        <v>45291</v>
      </c>
    </row>
    <row r="8">
      <c r="A8" s="17"/>
      <c r="B8" s="20"/>
      <c r="C8" s="21" t="s">
        <v>8</v>
      </c>
      <c r="D8" s="46" t="s">
        <v>65</v>
      </c>
      <c r="E8" s="46">
        <v>6.3884525741E10</v>
      </c>
      <c r="F8" s="46">
        <v>5.7253986956E10</v>
      </c>
      <c r="G8" s="46">
        <v>4.312205488E9</v>
      </c>
    </row>
    <row r="9">
      <c r="A9" s="17"/>
      <c r="B9" s="20"/>
      <c r="C9" s="21" t="s">
        <v>10</v>
      </c>
      <c r="D9" s="22" t="s">
        <v>66</v>
      </c>
      <c r="E9" s="22">
        <v>6.3884525741E10</v>
      </c>
      <c r="F9" s="22">
        <v>5.7253986956E10</v>
      </c>
      <c r="G9" s="22">
        <v>4.312205488E9</v>
      </c>
    </row>
    <row r="10">
      <c r="A10" s="17"/>
      <c r="B10" s="20"/>
      <c r="C10" s="21" t="s">
        <v>12</v>
      </c>
      <c r="D10" s="22" t="s">
        <v>67</v>
      </c>
      <c r="E10" s="22" t="s">
        <v>16</v>
      </c>
      <c r="F10" s="22" t="s">
        <v>16</v>
      </c>
      <c r="G10" s="22" t="s">
        <v>16</v>
      </c>
    </row>
    <row r="11">
      <c r="A11" s="17"/>
      <c r="B11" s="20"/>
      <c r="C11" s="21" t="s">
        <v>23</v>
      </c>
      <c r="D11" s="22" t="s">
        <v>68</v>
      </c>
      <c r="E11" s="22" t="s">
        <v>16</v>
      </c>
      <c r="F11" s="22" t="s">
        <v>16</v>
      </c>
      <c r="G11" s="22" t="s">
        <v>16</v>
      </c>
    </row>
    <row r="12">
      <c r="A12" s="17"/>
      <c r="B12" s="20"/>
      <c r="C12" s="21" t="s">
        <v>25</v>
      </c>
      <c r="D12" s="22" t="s">
        <v>69</v>
      </c>
      <c r="E12" s="22">
        <v>1138830.0</v>
      </c>
      <c r="F12" s="22">
        <v>2725069.0</v>
      </c>
      <c r="G12" s="22">
        <v>76871.0</v>
      </c>
    </row>
    <row r="13">
      <c r="A13" s="17"/>
      <c r="B13" s="20"/>
      <c r="C13" s="21" t="s">
        <v>27</v>
      </c>
      <c r="D13" s="22" t="s">
        <v>70</v>
      </c>
      <c r="E13" s="22" t="s">
        <v>16</v>
      </c>
      <c r="F13" s="22" t="s">
        <v>16</v>
      </c>
      <c r="G13" s="22" t="s">
        <v>16</v>
      </c>
    </row>
    <row r="14">
      <c r="A14" s="17"/>
      <c r="B14" s="20"/>
      <c r="C14" s="21" t="s">
        <v>71</v>
      </c>
      <c r="D14" s="22" t="s">
        <v>72</v>
      </c>
      <c r="E14" s="22">
        <v>625019.0</v>
      </c>
      <c r="F14" s="22">
        <v>920530.0</v>
      </c>
      <c r="G14" s="22">
        <v>42189.0</v>
      </c>
    </row>
    <row r="15">
      <c r="A15" s="17"/>
      <c r="B15" s="20"/>
      <c r="C15" s="21" t="s">
        <v>32</v>
      </c>
      <c r="D15" s="22" t="s">
        <v>73</v>
      </c>
      <c r="E15" s="22">
        <v>513811.0</v>
      </c>
      <c r="F15" s="22">
        <v>1804540.0</v>
      </c>
      <c r="G15" s="22">
        <v>34682.0</v>
      </c>
    </row>
    <row r="16">
      <c r="A16" s="17"/>
      <c r="B16" s="20"/>
      <c r="C16" s="21" t="s">
        <v>38</v>
      </c>
      <c r="D16" s="22" t="s">
        <v>74</v>
      </c>
      <c r="E16" s="22">
        <v>8.7779267E7</v>
      </c>
      <c r="F16" s="22">
        <v>9.5465576E7</v>
      </c>
      <c r="G16" s="22">
        <v>5925101.0</v>
      </c>
    </row>
    <row r="17">
      <c r="A17" s="17"/>
      <c r="B17" s="20"/>
      <c r="C17" s="21" t="s">
        <v>41</v>
      </c>
      <c r="D17" s="22" t="s">
        <v>75</v>
      </c>
      <c r="E17" s="22">
        <v>2935175.0</v>
      </c>
      <c r="F17" s="22">
        <v>6143708.0</v>
      </c>
      <c r="G17" s="22">
        <v>198124.0</v>
      </c>
    </row>
    <row r="18">
      <c r="A18" s="17"/>
      <c r="B18" s="20"/>
      <c r="C18" s="21" t="s">
        <v>44</v>
      </c>
      <c r="D18" s="22" t="s">
        <v>76</v>
      </c>
      <c r="E18" s="22" t="s">
        <v>16</v>
      </c>
      <c r="F18" s="22">
        <v>6.4003616E7</v>
      </c>
      <c r="G18" s="22" t="s">
        <v>16</v>
      </c>
    </row>
    <row r="19">
      <c r="A19" s="17"/>
      <c r="B19" s="20"/>
      <c r="C19" s="21" t="s">
        <v>49</v>
      </c>
      <c r="D19" s="22" t="s">
        <v>77</v>
      </c>
      <c r="E19" s="22">
        <v>2.47580095E8</v>
      </c>
      <c r="F19" s="22">
        <v>1.88687398E8</v>
      </c>
      <c r="G19" s="22">
        <v>1.6711656E7</v>
      </c>
    </row>
    <row r="20">
      <c r="A20" s="17"/>
      <c r="B20" s="20"/>
      <c r="C20" s="47" t="s">
        <v>58</v>
      </c>
      <c r="D20" s="48" t="s">
        <v>78</v>
      </c>
      <c r="E20" s="48">
        <v>7.04895315E8</v>
      </c>
      <c r="F20" s="48">
        <v>6.18896016E8</v>
      </c>
      <c r="G20" s="48">
        <v>4.7580434E7</v>
      </c>
    </row>
    <row r="21">
      <c r="A21" s="17"/>
      <c r="B21" s="20"/>
      <c r="C21" s="21" t="s">
        <v>79</v>
      </c>
      <c r="D21" s="22" t="s">
        <v>80</v>
      </c>
      <c r="E21" s="22">
        <v>7.04895315E8</v>
      </c>
      <c r="F21" s="22">
        <v>6.18896016E8</v>
      </c>
      <c r="G21" s="22">
        <v>4.7580434E7</v>
      </c>
    </row>
    <row r="22">
      <c r="A22" s="17"/>
      <c r="B22" s="20"/>
      <c r="C22" s="21" t="s">
        <v>81</v>
      </c>
      <c r="D22" s="22" t="s">
        <v>82</v>
      </c>
      <c r="E22" s="22" t="s">
        <v>16</v>
      </c>
      <c r="F22" s="22" t="s">
        <v>16</v>
      </c>
      <c r="G22" s="22" t="s">
        <v>16</v>
      </c>
    </row>
    <row r="23">
      <c r="A23" s="17"/>
      <c r="B23" s="20"/>
      <c r="C23" s="47" t="s">
        <v>83</v>
      </c>
      <c r="D23" s="48" t="s">
        <v>84</v>
      </c>
      <c r="E23" s="48">
        <v>1.9605041775E10</v>
      </c>
      <c r="F23" s="48">
        <v>3.0915991913E10</v>
      </c>
      <c r="G23" s="48">
        <v>1.32334032E9</v>
      </c>
    </row>
    <row r="24">
      <c r="A24" s="17"/>
      <c r="B24" s="20"/>
      <c r="C24" s="47" t="s">
        <v>85</v>
      </c>
      <c r="D24" s="48" t="s">
        <v>86</v>
      </c>
      <c r="E24" s="48">
        <v>6.343027206E9</v>
      </c>
      <c r="F24" s="48">
        <v>5.955165052E9</v>
      </c>
      <c r="G24" s="48">
        <v>4.28154336E8</v>
      </c>
    </row>
    <row r="25">
      <c r="A25" s="17"/>
      <c r="B25" s="20"/>
      <c r="C25" s="21" t="s">
        <v>87</v>
      </c>
      <c r="D25" s="22" t="s">
        <v>88</v>
      </c>
      <c r="E25" s="22">
        <v>2.680115802E9</v>
      </c>
      <c r="F25" s="22">
        <v>2.357439055E9</v>
      </c>
      <c r="G25" s="22">
        <v>1.80907817E8</v>
      </c>
    </row>
    <row r="26">
      <c r="A26" s="17"/>
      <c r="B26" s="20"/>
      <c r="C26" s="47" t="s">
        <v>89</v>
      </c>
      <c r="D26" s="48" t="s">
        <v>90</v>
      </c>
      <c r="E26" s="48">
        <v>9.3557039207E10</v>
      </c>
      <c r="F26" s="48">
        <v>9.7458504359E10</v>
      </c>
      <c r="G26" s="48">
        <v>6.315100146E9</v>
      </c>
    </row>
    <row r="27">
      <c r="A27" s="32"/>
      <c r="B27" s="32"/>
      <c r="C27" s="32"/>
      <c r="D27" s="32"/>
      <c r="E27" s="49"/>
      <c r="F27" s="50"/>
      <c r="G27" s="32"/>
    </row>
    <row r="28">
      <c r="A28" s="32"/>
      <c r="B28" s="33"/>
      <c r="C28" s="33" t="s">
        <v>60</v>
      </c>
      <c r="D28" s="32"/>
    </row>
    <row r="29">
      <c r="A29" s="32"/>
      <c r="B29" s="31"/>
      <c r="C29" s="51" t="s">
        <v>91</v>
      </c>
      <c r="D29" s="36"/>
      <c r="E29" s="36"/>
      <c r="F29" s="36"/>
      <c r="G29" s="36"/>
    </row>
    <row r="30">
      <c r="A30" s="52"/>
      <c r="B30" s="52"/>
      <c r="C30" s="52"/>
      <c r="D30" s="52"/>
      <c r="E30" s="52"/>
      <c r="F30" s="52"/>
      <c r="G30" s="52"/>
    </row>
    <row r="31">
      <c r="A31" s="32"/>
      <c r="B31" s="32"/>
      <c r="C31" s="32"/>
      <c r="D31" s="32"/>
      <c r="E31" s="49"/>
      <c r="F31" s="50"/>
      <c r="G31" s="32"/>
    </row>
    <row r="32">
      <c r="A32" s="32"/>
      <c r="B32" s="32"/>
      <c r="C32" s="32"/>
      <c r="D32" s="32"/>
      <c r="E32" s="49"/>
      <c r="F32" s="50"/>
      <c r="G32" s="32"/>
    </row>
  </sheetData>
  <mergeCells count="2">
    <mergeCell ref="E6:F6"/>
    <mergeCell ref="C29:G2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4.25"/>
    <col customWidth="1" min="4" max="4" width="65.13"/>
    <col customWidth="1" min="5" max="8" width="70.0"/>
  </cols>
  <sheetData>
    <row r="1">
      <c r="A1" s="1"/>
      <c r="B1" s="1"/>
      <c r="C1" s="1"/>
      <c r="D1" s="2"/>
      <c r="E1" s="3"/>
      <c r="F1" s="3"/>
      <c r="G1" s="3"/>
      <c r="H1" s="3"/>
    </row>
    <row r="2" ht="6.75" customHeight="1">
      <c r="A2" s="1"/>
      <c r="B2" s="4"/>
      <c r="C2" s="4"/>
      <c r="D2" s="5"/>
      <c r="E2" s="6"/>
      <c r="F2" s="6"/>
      <c r="G2" s="6"/>
      <c r="H2" s="6"/>
    </row>
    <row r="3">
      <c r="A3" s="1"/>
      <c r="B3" s="4"/>
      <c r="C3" s="4"/>
      <c r="D3" s="5"/>
      <c r="E3" s="6"/>
      <c r="F3" s="6"/>
      <c r="G3" s="6"/>
      <c r="H3" s="6"/>
    </row>
    <row r="4">
      <c r="A4" s="1"/>
      <c r="B4" s="4"/>
      <c r="C4" s="4"/>
      <c r="D4" s="5"/>
      <c r="E4" s="6"/>
      <c r="F4" s="6"/>
      <c r="G4" s="6"/>
      <c r="H4" s="6"/>
    </row>
    <row r="5">
      <c r="A5" s="7"/>
      <c r="B5" s="8"/>
      <c r="C5" s="53" t="s">
        <v>92</v>
      </c>
      <c r="D5" s="54"/>
      <c r="E5" s="54" t="s">
        <v>93</v>
      </c>
      <c r="F5" s="54"/>
      <c r="G5" s="54"/>
      <c r="H5" s="54"/>
    </row>
    <row r="6">
      <c r="A6" s="1"/>
      <c r="B6" s="4"/>
      <c r="C6" s="4"/>
      <c r="D6" s="55"/>
      <c r="E6" s="43" t="s">
        <v>1</v>
      </c>
      <c r="F6" s="43" t="s">
        <v>2</v>
      </c>
      <c r="G6" s="43" t="s">
        <v>3</v>
      </c>
      <c r="H6" s="43" t="s">
        <v>4</v>
      </c>
    </row>
    <row r="7">
      <c r="A7" s="10"/>
      <c r="B7" s="11"/>
      <c r="C7" s="12" t="s">
        <v>6</v>
      </c>
      <c r="D7" s="56"/>
      <c r="E7" s="57" t="s">
        <v>94</v>
      </c>
      <c r="F7" s="57" t="s">
        <v>94</v>
      </c>
      <c r="G7" s="57" t="s">
        <v>94</v>
      </c>
      <c r="H7" s="57" t="s">
        <v>94</v>
      </c>
    </row>
    <row r="8">
      <c r="A8" s="58"/>
      <c r="B8" s="17"/>
      <c r="C8" s="59" t="s">
        <v>8</v>
      </c>
      <c r="D8" s="60" t="s">
        <v>95</v>
      </c>
      <c r="E8" s="61" t="s">
        <v>96</v>
      </c>
      <c r="F8" s="62" t="s">
        <v>96</v>
      </c>
      <c r="G8" s="62" t="s">
        <v>96</v>
      </c>
      <c r="H8" s="62" t="s">
        <v>96</v>
      </c>
    </row>
    <row r="9">
      <c r="A9" s="58"/>
      <c r="B9" s="17"/>
      <c r="C9" s="63" t="s">
        <v>10</v>
      </c>
      <c r="D9" s="64" t="s">
        <v>97</v>
      </c>
      <c r="E9" s="65" t="s">
        <v>98</v>
      </c>
      <c r="F9" s="66" t="s">
        <v>99</v>
      </c>
      <c r="G9" s="66" t="s">
        <v>100</v>
      </c>
      <c r="H9" s="66" t="s">
        <v>101</v>
      </c>
    </row>
    <row r="10">
      <c r="A10" s="58"/>
      <c r="B10" s="17"/>
      <c r="C10" s="63" t="s">
        <v>12</v>
      </c>
      <c r="D10" s="64" t="s">
        <v>102</v>
      </c>
      <c r="E10" s="65" t="s">
        <v>103</v>
      </c>
      <c r="F10" s="66"/>
      <c r="G10" s="66" t="s">
        <v>103</v>
      </c>
      <c r="H10" s="66" t="s">
        <v>103</v>
      </c>
    </row>
    <row r="11">
      <c r="A11" s="58"/>
      <c r="B11" s="17"/>
      <c r="C11" s="63" t="s">
        <v>20</v>
      </c>
      <c r="D11" s="64" t="s">
        <v>104</v>
      </c>
      <c r="E11" s="65" t="s">
        <v>43</v>
      </c>
      <c r="F11" s="66" t="s">
        <v>43</v>
      </c>
      <c r="G11" s="66" t="s">
        <v>43</v>
      </c>
      <c r="H11" s="66" t="s">
        <v>43</v>
      </c>
    </row>
    <row r="12">
      <c r="A12" s="58"/>
      <c r="B12" s="17"/>
      <c r="C12" s="63" t="s">
        <v>23</v>
      </c>
      <c r="D12" s="64" t="s">
        <v>105</v>
      </c>
      <c r="E12" s="65" t="s">
        <v>106</v>
      </c>
      <c r="F12" s="66" t="s">
        <v>106</v>
      </c>
      <c r="G12" s="66" t="s">
        <v>11</v>
      </c>
      <c r="H12" s="66" t="s">
        <v>11</v>
      </c>
    </row>
    <row r="13">
      <c r="A13" s="58"/>
      <c r="B13" s="17"/>
      <c r="C13" s="63" t="s">
        <v>25</v>
      </c>
      <c r="D13" s="64" t="s">
        <v>107</v>
      </c>
      <c r="E13" s="65" t="s">
        <v>108</v>
      </c>
      <c r="F13" s="66" t="s">
        <v>108</v>
      </c>
      <c r="G13" s="66" t="s">
        <v>108</v>
      </c>
      <c r="H13" s="66" t="s">
        <v>108</v>
      </c>
    </row>
    <row r="14">
      <c r="A14" s="58"/>
      <c r="B14" s="17"/>
      <c r="C14" s="63" t="s">
        <v>27</v>
      </c>
      <c r="D14" s="64" t="s">
        <v>109</v>
      </c>
      <c r="E14" s="65" t="s">
        <v>110</v>
      </c>
      <c r="F14" s="66" t="s">
        <v>110</v>
      </c>
      <c r="G14" s="66" t="s">
        <v>110</v>
      </c>
      <c r="H14" s="66" t="s">
        <v>110</v>
      </c>
    </row>
    <row r="15">
      <c r="A15" s="58"/>
      <c r="B15" s="17"/>
      <c r="C15" s="63" t="s">
        <v>30</v>
      </c>
      <c r="D15" s="64" t="s">
        <v>111</v>
      </c>
      <c r="E15" s="67">
        <v>1.29391349E8</v>
      </c>
      <c r="F15" s="68">
        <v>1.003615755E9</v>
      </c>
      <c r="G15" s="68">
        <v>7.5723991E8</v>
      </c>
      <c r="H15" s="68">
        <v>2.08479966E8</v>
      </c>
    </row>
    <row r="16">
      <c r="A16" s="58"/>
      <c r="B16" s="17"/>
      <c r="C16" s="63" t="s">
        <v>32</v>
      </c>
      <c r="D16" s="64" t="s">
        <v>112</v>
      </c>
      <c r="E16" s="67">
        <v>7.5E7</v>
      </c>
      <c r="F16" s="68">
        <v>8.0E8</v>
      </c>
      <c r="G16" s="68">
        <v>7.0E8</v>
      </c>
      <c r="H16" s="68">
        <v>2.0E8</v>
      </c>
    </row>
    <row r="17">
      <c r="A17" s="58"/>
      <c r="B17" s="17"/>
      <c r="C17" s="63" t="s">
        <v>34</v>
      </c>
      <c r="D17" s="64" t="s">
        <v>113</v>
      </c>
      <c r="E17" s="65" t="s">
        <v>114</v>
      </c>
      <c r="F17" s="66" t="s">
        <v>114</v>
      </c>
      <c r="G17" s="66" t="s">
        <v>114</v>
      </c>
      <c r="H17" s="66" t="s">
        <v>114</v>
      </c>
    </row>
    <row r="18">
      <c r="A18" s="58"/>
      <c r="B18" s="17"/>
      <c r="C18" s="63" t="s">
        <v>36</v>
      </c>
      <c r="D18" s="64" t="s">
        <v>115</v>
      </c>
      <c r="E18" s="65" t="s">
        <v>116</v>
      </c>
      <c r="F18" s="66" t="s">
        <v>117</v>
      </c>
      <c r="G18" s="66" t="s">
        <v>118</v>
      </c>
      <c r="H18" s="66" t="s">
        <v>119</v>
      </c>
    </row>
    <row r="19">
      <c r="A19" s="58"/>
      <c r="B19" s="17"/>
      <c r="C19" s="63" t="s">
        <v>38</v>
      </c>
      <c r="D19" s="64" t="s">
        <v>120</v>
      </c>
      <c r="E19" s="65" t="s">
        <v>121</v>
      </c>
      <c r="F19" s="66" t="s">
        <v>121</v>
      </c>
      <c r="G19" s="66" t="s">
        <v>122</v>
      </c>
      <c r="H19" s="66" t="s">
        <v>122</v>
      </c>
    </row>
    <row r="20">
      <c r="A20" s="58"/>
      <c r="B20" s="17"/>
      <c r="C20" s="63" t="s">
        <v>41</v>
      </c>
      <c r="D20" s="64" t="s">
        <v>123</v>
      </c>
      <c r="E20" s="65" t="s">
        <v>124</v>
      </c>
      <c r="F20" s="66" t="s">
        <v>125</v>
      </c>
      <c r="G20" s="66" t="s">
        <v>43</v>
      </c>
      <c r="H20" s="66" t="s">
        <v>43</v>
      </c>
    </row>
    <row r="21">
      <c r="A21" s="58"/>
      <c r="B21" s="17"/>
      <c r="C21" s="63" t="s">
        <v>44</v>
      </c>
      <c r="D21" s="64" t="s">
        <v>126</v>
      </c>
      <c r="E21" s="65" t="s">
        <v>127</v>
      </c>
      <c r="F21" s="66" t="s">
        <v>127</v>
      </c>
      <c r="G21" s="66" t="s">
        <v>127</v>
      </c>
      <c r="H21" s="66" t="s">
        <v>127</v>
      </c>
    </row>
    <row r="22">
      <c r="A22" s="58"/>
      <c r="B22" s="17"/>
      <c r="C22" s="63" t="s">
        <v>47</v>
      </c>
      <c r="D22" s="64" t="s">
        <v>128</v>
      </c>
      <c r="E22" s="65" t="s">
        <v>129</v>
      </c>
      <c r="F22" s="66" t="s">
        <v>130</v>
      </c>
      <c r="G22" s="69">
        <v>46753.0</v>
      </c>
      <c r="H22" s="69">
        <v>46914.0</v>
      </c>
    </row>
    <row r="23">
      <c r="A23" s="58"/>
      <c r="B23" s="17"/>
      <c r="C23" s="63" t="s">
        <v>49</v>
      </c>
      <c r="D23" s="64" t="s">
        <v>131</v>
      </c>
      <c r="E23" s="65" t="s">
        <v>132</v>
      </c>
      <c r="F23" s="66" t="s">
        <v>133</v>
      </c>
      <c r="G23" s="66" t="s">
        <v>134</v>
      </c>
      <c r="H23" s="66" t="s">
        <v>135</v>
      </c>
    </row>
    <row r="24">
      <c r="A24" s="58"/>
      <c r="B24" s="17"/>
      <c r="C24" s="70" t="s">
        <v>136</v>
      </c>
      <c r="D24" s="64"/>
      <c r="E24" s="65"/>
      <c r="F24" s="65"/>
    </row>
    <row r="25">
      <c r="A25" s="58"/>
      <c r="B25" s="17"/>
      <c r="C25" s="63" t="s">
        <v>51</v>
      </c>
      <c r="D25" s="64" t="s">
        <v>137</v>
      </c>
      <c r="E25" s="65" t="s">
        <v>138</v>
      </c>
      <c r="F25" s="66" t="s">
        <v>138</v>
      </c>
      <c r="G25" s="66" t="s">
        <v>138</v>
      </c>
      <c r="H25" s="66" t="s">
        <v>139</v>
      </c>
    </row>
    <row r="26">
      <c r="A26" s="58"/>
      <c r="B26" s="17"/>
      <c r="C26" s="63" t="s">
        <v>54</v>
      </c>
      <c r="D26" s="64" t="s">
        <v>140</v>
      </c>
      <c r="E26" s="65" t="s">
        <v>141</v>
      </c>
      <c r="F26" s="66" t="s">
        <v>142</v>
      </c>
      <c r="G26" s="66" t="s">
        <v>143</v>
      </c>
      <c r="H26" s="66" t="s">
        <v>144</v>
      </c>
    </row>
    <row r="27">
      <c r="A27" s="58"/>
      <c r="B27" s="17"/>
      <c r="C27" s="63" t="s">
        <v>56</v>
      </c>
      <c r="D27" s="64" t="s">
        <v>145</v>
      </c>
      <c r="E27" s="65" t="s">
        <v>146</v>
      </c>
      <c r="F27" s="66" t="s">
        <v>146</v>
      </c>
      <c r="G27" s="66" t="s">
        <v>146</v>
      </c>
      <c r="H27" s="66" t="s">
        <v>146</v>
      </c>
    </row>
    <row r="28">
      <c r="A28" s="58"/>
      <c r="B28" s="17"/>
      <c r="C28" s="63" t="s">
        <v>58</v>
      </c>
      <c r="D28" s="64" t="s">
        <v>147</v>
      </c>
      <c r="E28" s="65" t="s">
        <v>148</v>
      </c>
      <c r="F28" s="66" t="s">
        <v>148</v>
      </c>
      <c r="G28" s="66" t="s">
        <v>148</v>
      </c>
      <c r="H28" s="66" t="s">
        <v>148</v>
      </c>
    </row>
    <row r="29">
      <c r="A29" s="58"/>
      <c r="B29" s="17"/>
      <c r="C29" s="63" t="s">
        <v>79</v>
      </c>
      <c r="D29" s="64" t="s">
        <v>149</v>
      </c>
      <c r="E29" s="65" t="s">
        <v>146</v>
      </c>
      <c r="F29" s="66" t="s">
        <v>146</v>
      </c>
      <c r="G29" s="66" t="s">
        <v>146</v>
      </c>
      <c r="H29" s="66" t="s">
        <v>146</v>
      </c>
    </row>
    <row r="30">
      <c r="A30" s="58"/>
      <c r="B30" s="17"/>
      <c r="C30" s="63" t="s">
        <v>81</v>
      </c>
      <c r="D30" s="64" t="s">
        <v>150</v>
      </c>
      <c r="E30" s="65" t="s">
        <v>43</v>
      </c>
      <c r="F30" s="66" t="s">
        <v>43</v>
      </c>
      <c r="G30" s="66" t="s">
        <v>43</v>
      </c>
      <c r="H30" s="66" t="s">
        <v>43</v>
      </c>
    </row>
    <row r="31">
      <c r="A31" s="58"/>
      <c r="B31" s="17"/>
      <c r="C31" s="63" t="s">
        <v>151</v>
      </c>
      <c r="D31" s="64" t="s">
        <v>152</v>
      </c>
      <c r="E31" s="65" t="s">
        <v>153</v>
      </c>
      <c r="F31" s="66" t="s">
        <v>154</v>
      </c>
      <c r="G31" s="66" t="s">
        <v>154</v>
      </c>
      <c r="H31" s="66" t="s">
        <v>154</v>
      </c>
    </row>
    <row r="32">
      <c r="A32" s="58"/>
      <c r="B32" s="17"/>
      <c r="C32" s="63" t="s">
        <v>83</v>
      </c>
      <c r="D32" s="64" t="s">
        <v>155</v>
      </c>
      <c r="E32" s="65" t="s">
        <v>43</v>
      </c>
      <c r="F32" s="66" t="s">
        <v>156</v>
      </c>
      <c r="G32" s="66" t="s">
        <v>157</v>
      </c>
      <c r="H32" s="66" t="s">
        <v>157</v>
      </c>
    </row>
    <row r="33">
      <c r="A33" s="58"/>
      <c r="B33" s="17"/>
      <c r="C33" s="63" t="s">
        <v>87</v>
      </c>
      <c r="D33" s="64" t="s">
        <v>158</v>
      </c>
      <c r="E33" s="65" t="s">
        <v>43</v>
      </c>
      <c r="F33" s="66" t="s">
        <v>159</v>
      </c>
      <c r="G33" s="66" t="s">
        <v>159</v>
      </c>
      <c r="H33" s="66" t="s">
        <v>159</v>
      </c>
    </row>
    <row r="34">
      <c r="A34" s="58"/>
      <c r="B34" s="17"/>
      <c r="C34" s="63" t="s">
        <v>160</v>
      </c>
      <c r="D34" s="64" t="s">
        <v>161</v>
      </c>
      <c r="E34" s="65" t="s">
        <v>43</v>
      </c>
      <c r="F34" s="66" t="s">
        <v>162</v>
      </c>
      <c r="G34" s="66" t="s">
        <v>162</v>
      </c>
      <c r="H34" s="66" t="s">
        <v>162</v>
      </c>
    </row>
    <row r="35">
      <c r="A35" s="58"/>
      <c r="B35" s="17"/>
      <c r="C35" s="63" t="s">
        <v>163</v>
      </c>
      <c r="D35" s="64" t="s">
        <v>164</v>
      </c>
      <c r="E35" s="65" t="s">
        <v>43</v>
      </c>
      <c r="F35" s="66" t="s">
        <v>165</v>
      </c>
      <c r="G35" s="66" t="s">
        <v>165</v>
      </c>
      <c r="H35" s="66" t="s">
        <v>165</v>
      </c>
    </row>
    <row r="36">
      <c r="A36" s="58"/>
      <c r="B36" s="17"/>
      <c r="C36" s="63" t="s">
        <v>166</v>
      </c>
      <c r="D36" s="64" t="s">
        <v>167</v>
      </c>
      <c r="E36" s="65" t="s">
        <v>43</v>
      </c>
      <c r="F36" s="66" t="s">
        <v>9</v>
      </c>
      <c r="G36" s="66" t="s">
        <v>9</v>
      </c>
      <c r="H36" s="66" t="s">
        <v>9</v>
      </c>
    </row>
    <row r="37">
      <c r="A37" s="58"/>
      <c r="B37" s="17"/>
      <c r="C37" s="63" t="s">
        <v>89</v>
      </c>
      <c r="D37" s="64" t="s">
        <v>168</v>
      </c>
      <c r="E37" s="65" t="s">
        <v>43</v>
      </c>
      <c r="F37" s="66" t="s">
        <v>96</v>
      </c>
      <c r="G37" s="66" t="s">
        <v>96</v>
      </c>
      <c r="H37" s="66" t="s">
        <v>96</v>
      </c>
    </row>
    <row r="38">
      <c r="A38" s="58"/>
      <c r="B38" s="17"/>
      <c r="C38" s="63" t="s">
        <v>169</v>
      </c>
      <c r="D38" s="64" t="s">
        <v>170</v>
      </c>
      <c r="E38" s="65" t="s">
        <v>127</v>
      </c>
      <c r="F38" s="66" t="s">
        <v>127</v>
      </c>
      <c r="G38" s="66" t="s">
        <v>127</v>
      </c>
      <c r="H38" s="66" t="s">
        <v>127</v>
      </c>
    </row>
    <row r="39">
      <c r="A39" s="58"/>
      <c r="B39" s="17"/>
      <c r="C39" s="63" t="s">
        <v>171</v>
      </c>
      <c r="D39" s="64" t="s">
        <v>172</v>
      </c>
      <c r="E39" s="65" t="s">
        <v>173</v>
      </c>
      <c r="F39" s="66" t="s">
        <v>173</v>
      </c>
      <c r="G39" s="66" t="s">
        <v>174</v>
      </c>
      <c r="H39" s="66" t="s">
        <v>174</v>
      </c>
    </row>
    <row r="40">
      <c r="A40" s="58"/>
      <c r="B40" s="17"/>
      <c r="C40" s="63" t="s">
        <v>175</v>
      </c>
      <c r="D40" s="64" t="s">
        <v>176</v>
      </c>
      <c r="E40" s="65" t="s">
        <v>159</v>
      </c>
      <c r="F40" s="66" t="s">
        <v>159</v>
      </c>
      <c r="G40" s="66" t="s">
        <v>159</v>
      </c>
      <c r="H40" s="66" t="s">
        <v>159</v>
      </c>
    </row>
    <row r="41">
      <c r="A41" s="58"/>
      <c r="B41" s="17"/>
      <c r="C41" s="63" t="s">
        <v>177</v>
      </c>
      <c r="D41" s="64" t="s">
        <v>178</v>
      </c>
      <c r="E41" s="65" t="s">
        <v>179</v>
      </c>
      <c r="F41" s="66" t="s">
        <v>179</v>
      </c>
      <c r="G41" s="66" t="s">
        <v>179</v>
      </c>
      <c r="H41" s="66" t="s">
        <v>179</v>
      </c>
    </row>
    <row r="42">
      <c r="A42" s="58"/>
      <c r="B42" s="17"/>
      <c r="C42" s="71" t="s">
        <v>180</v>
      </c>
      <c r="D42" s="64" t="s">
        <v>181</v>
      </c>
      <c r="E42" s="65" t="s">
        <v>182</v>
      </c>
      <c r="F42" s="66" t="s">
        <v>182</v>
      </c>
      <c r="G42" s="66" t="s">
        <v>182</v>
      </c>
      <c r="H42" s="66" t="s">
        <v>182</v>
      </c>
    </row>
    <row r="43">
      <c r="A43" s="58"/>
      <c r="B43" s="17"/>
      <c r="C43" s="63" t="s">
        <v>183</v>
      </c>
      <c r="D43" s="64" t="s">
        <v>184</v>
      </c>
      <c r="E43" s="65" t="s">
        <v>185</v>
      </c>
      <c r="F43" s="66" t="s">
        <v>185</v>
      </c>
      <c r="G43" s="66" t="s">
        <v>186</v>
      </c>
      <c r="H43" s="66" t="s">
        <v>186</v>
      </c>
    </row>
    <row r="44">
      <c r="A44" s="58"/>
      <c r="B44" s="17"/>
      <c r="C44" s="63" t="s">
        <v>187</v>
      </c>
      <c r="D44" s="64" t="s">
        <v>188</v>
      </c>
      <c r="E44" s="65" t="s">
        <v>146</v>
      </c>
      <c r="F44" s="66" t="s">
        <v>146</v>
      </c>
      <c r="G44" s="66" t="s">
        <v>146</v>
      </c>
      <c r="H44" s="66" t="s">
        <v>146</v>
      </c>
    </row>
    <row r="45">
      <c r="A45" s="58"/>
      <c r="B45" s="17"/>
      <c r="C45" s="72" t="s">
        <v>189</v>
      </c>
      <c r="D45" s="73" t="s">
        <v>190</v>
      </c>
      <c r="E45" s="65" t="s">
        <v>43</v>
      </c>
      <c r="F45" s="66" t="s">
        <v>43</v>
      </c>
      <c r="G45" s="66" t="s">
        <v>43</v>
      </c>
      <c r="H45" s="66" t="s">
        <v>43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4.25"/>
    <col customWidth="1" min="4" max="4" width="73.0"/>
    <col customWidth="1" min="5" max="9" width="16.13"/>
  </cols>
  <sheetData>
    <row r="1">
      <c r="A1" s="1"/>
      <c r="B1" s="1"/>
      <c r="C1" s="1"/>
      <c r="D1" s="1"/>
      <c r="E1" s="2"/>
      <c r="F1" s="3"/>
      <c r="G1" s="3"/>
      <c r="H1" s="3"/>
      <c r="I1" s="3"/>
    </row>
    <row r="2" ht="6.75" customHeight="1">
      <c r="A2" s="1"/>
      <c r="B2" s="4"/>
      <c r="C2" s="4"/>
      <c r="D2" s="4"/>
      <c r="E2" s="5"/>
      <c r="F2" s="6"/>
      <c r="G2" s="6"/>
      <c r="H2" s="6"/>
      <c r="I2" s="6"/>
    </row>
    <row r="3">
      <c r="A3" s="1"/>
      <c r="B3" s="4"/>
      <c r="C3" s="4"/>
      <c r="D3" s="4"/>
      <c r="E3" s="5"/>
      <c r="F3" s="6"/>
      <c r="G3" s="6"/>
      <c r="H3" s="6"/>
      <c r="I3" s="6"/>
    </row>
    <row r="4">
      <c r="A4" s="1"/>
      <c r="B4" s="4"/>
      <c r="C4" s="4"/>
      <c r="D4" s="4"/>
      <c r="E4" s="5"/>
      <c r="F4" s="6"/>
      <c r="G4" s="6"/>
      <c r="H4" s="6"/>
      <c r="I4" s="6"/>
    </row>
    <row r="5">
      <c r="A5" s="7"/>
      <c r="B5" s="8"/>
      <c r="C5" s="9" t="s">
        <v>191</v>
      </c>
      <c r="D5" s="4"/>
      <c r="E5" s="74" t="s">
        <v>192</v>
      </c>
      <c r="F5" s="42"/>
      <c r="G5" s="54"/>
      <c r="H5" s="54"/>
      <c r="I5" s="54"/>
    </row>
    <row r="6">
      <c r="A6" s="1"/>
      <c r="B6" s="4"/>
      <c r="C6" s="4"/>
      <c r="D6" s="4"/>
      <c r="E6" s="55" t="s">
        <v>1</v>
      </c>
      <c r="F6" s="43" t="s">
        <v>2</v>
      </c>
      <c r="G6" s="43"/>
      <c r="H6" s="43"/>
      <c r="I6" s="43"/>
    </row>
    <row r="7">
      <c r="A7" s="10"/>
      <c r="B7" s="11"/>
      <c r="C7" s="12" t="s">
        <v>6</v>
      </c>
      <c r="D7" s="13"/>
      <c r="E7" s="57" t="s">
        <v>193</v>
      </c>
      <c r="F7" s="56" t="s">
        <v>194</v>
      </c>
      <c r="G7" s="56"/>
      <c r="H7" s="56"/>
      <c r="I7" s="56"/>
    </row>
    <row r="8">
      <c r="A8" s="17"/>
      <c r="B8" s="34"/>
      <c r="C8" s="16" t="s">
        <v>195</v>
      </c>
      <c r="D8" s="58"/>
      <c r="E8" s="75"/>
      <c r="F8" s="76"/>
      <c r="G8" s="76"/>
      <c r="H8" s="76"/>
      <c r="I8" s="76"/>
    </row>
    <row r="9">
      <c r="A9" s="17"/>
      <c r="B9" s="34"/>
      <c r="C9" s="77" t="s">
        <v>8</v>
      </c>
      <c r="D9" s="78" t="s">
        <v>196</v>
      </c>
      <c r="E9" s="22">
        <v>5.887321644E9</v>
      </c>
      <c r="F9" s="79" t="s">
        <v>197</v>
      </c>
      <c r="G9" s="79"/>
      <c r="H9" s="79"/>
      <c r="I9" s="79"/>
    </row>
    <row r="10">
      <c r="A10" s="17"/>
      <c r="B10" s="34"/>
      <c r="C10" s="77" t="s">
        <v>10</v>
      </c>
      <c r="D10" s="78" t="s">
        <v>198</v>
      </c>
      <c r="E10" s="22">
        <v>4.385298967E9</v>
      </c>
      <c r="F10" s="79" t="s">
        <v>199</v>
      </c>
      <c r="G10" s="79"/>
      <c r="H10" s="79"/>
      <c r="I10" s="79"/>
    </row>
    <row r="11">
      <c r="A11" s="17"/>
      <c r="B11" s="34"/>
      <c r="C11" s="77" t="s">
        <v>12</v>
      </c>
      <c r="D11" s="78" t="s">
        <v>200</v>
      </c>
      <c r="E11" s="22">
        <v>9.98743528E8</v>
      </c>
      <c r="F11" s="79" t="s">
        <v>201</v>
      </c>
      <c r="G11" s="79"/>
      <c r="H11" s="79"/>
      <c r="I11" s="79"/>
    </row>
    <row r="12">
      <c r="A12" s="17"/>
      <c r="B12" s="34"/>
      <c r="C12" s="77" t="s">
        <v>23</v>
      </c>
      <c r="D12" s="78" t="s">
        <v>202</v>
      </c>
      <c r="E12" s="22" t="s">
        <v>16</v>
      </c>
      <c r="F12" s="79"/>
      <c r="G12" s="79"/>
      <c r="H12" s="79"/>
      <c r="I12" s="79"/>
    </row>
    <row r="13">
      <c r="A13" s="17"/>
      <c r="B13" s="58"/>
      <c r="C13" s="77" t="s">
        <v>25</v>
      </c>
      <c r="D13" s="80" t="s">
        <v>203</v>
      </c>
      <c r="E13" s="22">
        <v>1.127136414E10</v>
      </c>
      <c r="F13" s="79" t="s">
        <v>204</v>
      </c>
      <c r="G13" s="79"/>
      <c r="H13" s="79"/>
      <c r="I13" s="79"/>
    </row>
    <row r="14">
      <c r="A14" s="17"/>
      <c r="B14" s="34"/>
      <c r="C14" s="81" t="s">
        <v>205</v>
      </c>
      <c r="D14" s="82"/>
      <c r="E14" s="83"/>
      <c r="F14" s="84"/>
      <c r="G14" s="85"/>
      <c r="H14" s="85"/>
      <c r="I14" s="85"/>
    </row>
    <row r="15">
      <c r="A15" s="17"/>
      <c r="B15" s="34"/>
      <c r="C15" s="77" t="s">
        <v>27</v>
      </c>
      <c r="D15" s="78" t="s">
        <v>206</v>
      </c>
      <c r="E15" s="22" t="s">
        <v>16</v>
      </c>
      <c r="F15" s="79"/>
      <c r="G15" s="79"/>
      <c r="H15" s="79"/>
      <c r="I15" s="79"/>
    </row>
    <row r="16">
      <c r="A16" s="17"/>
      <c r="B16" s="34"/>
      <c r="C16" s="77" t="s">
        <v>30</v>
      </c>
      <c r="D16" s="78" t="s">
        <v>207</v>
      </c>
      <c r="E16" s="22">
        <v>2.19901659E8</v>
      </c>
      <c r="F16" s="79"/>
      <c r="G16" s="79"/>
      <c r="H16" s="79"/>
      <c r="I16" s="79"/>
    </row>
    <row r="17">
      <c r="A17" s="17"/>
      <c r="B17" s="34"/>
      <c r="C17" s="77" t="s">
        <v>32</v>
      </c>
      <c r="D17" s="78" t="s">
        <v>208</v>
      </c>
      <c r="E17" s="22">
        <v>2.95120884E8</v>
      </c>
      <c r="F17" s="79"/>
      <c r="G17" s="79"/>
      <c r="H17" s="79"/>
      <c r="I17" s="79"/>
    </row>
    <row r="18">
      <c r="A18" s="17"/>
      <c r="B18" s="34"/>
      <c r="C18" s="77" t="s">
        <v>34</v>
      </c>
      <c r="D18" s="78" t="s">
        <v>209</v>
      </c>
      <c r="E18" s="22">
        <v>8.4173845E7</v>
      </c>
      <c r="F18" s="79"/>
      <c r="G18" s="79"/>
      <c r="H18" s="79"/>
      <c r="I18" s="79"/>
    </row>
    <row r="19">
      <c r="A19" s="17"/>
      <c r="B19" s="34"/>
      <c r="C19" s="77" t="s">
        <v>36</v>
      </c>
      <c r="D19" s="78" t="s">
        <v>210</v>
      </c>
      <c r="E19" s="22" t="s">
        <v>16</v>
      </c>
      <c r="F19" s="22"/>
      <c r="G19" s="22"/>
      <c r="H19" s="22"/>
      <c r="I19" s="22"/>
    </row>
    <row r="20">
      <c r="A20" s="17"/>
      <c r="B20" s="34"/>
      <c r="C20" s="77" t="s">
        <v>47</v>
      </c>
      <c r="D20" s="78" t="s">
        <v>211</v>
      </c>
      <c r="E20" s="22" t="s">
        <v>16</v>
      </c>
      <c r="F20" s="22"/>
      <c r="G20" s="22"/>
      <c r="H20" s="22"/>
      <c r="I20" s="22"/>
    </row>
    <row r="21">
      <c r="A21" s="17"/>
      <c r="B21" s="34"/>
      <c r="C21" s="77" t="s">
        <v>49</v>
      </c>
      <c r="D21" s="78" t="s">
        <v>212</v>
      </c>
      <c r="E21" s="22" t="s">
        <v>16</v>
      </c>
      <c r="F21" s="22"/>
      <c r="G21" s="22"/>
      <c r="H21" s="22"/>
      <c r="I21" s="22"/>
    </row>
    <row r="22">
      <c r="A22" s="17"/>
      <c r="B22" s="34"/>
      <c r="C22" s="77" t="s">
        <v>51</v>
      </c>
      <c r="D22" s="78" t="s">
        <v>213</v>
      </c>
      <c r="E22" s="22" t="s">
        <v>16</v>
      </c>
      <c r="F22" s="22"/>
      <c r="G22" s="22"/>
      <c r="H22" s="22"/>
      <c r="I22" s="22"/>
    </row>
    <row r="23">
      <c r="A23" s="17"/>
      <c r="B23" s="34"/>
      <c r="C23" s="77" t="s">
        <v>54</v>
      </c>
      <c r="D23" s="78" t="s">
        <v>214</v>
      </c>
      <c r="E23" s="22" t="s">
        <v>16</v>
      </c>
      <c r="F23" s="22"/>
      <c r="G23" s="22"/>
      <c r="H23" s="22"/>
      <c r="I23" s="22"/>
    </row>
    <row r="24">
      <c r="A24" s="17"/>
      <c r="B24" s="34"/>
      <c r="C24" s="77" t="s">
        <v>56</v>
      </c>
      <c r="D24" s="78" t="s">
        <v>215</v>
      </c>
      <c r="E24" s="22" t="s">
        <v>16</v>
      </c>
      <c r="F24" s="22"/>
      <c r="G24" s="22"/>
      <c r="H24" s="22"/>
      <c r="I24" s="22"/>
    </row>
    <row r="25">
      <c r="A25" s="17"/>
      <c r="B25" s="34"/>
      <c r="C25" s="77" t="s">
        <v>79</v>
      </c>
      <c r="D25" s="78" t="s">
        <v>216</v>
      </c>
      <c r="E25" s="22" t="s">
        <v>16</v>
      </c>
      <c r="F25" s="22"/>
      <c r="G25" s="22"/>
      <c r="H25" s="22"/>
      <c r="I25" s="22"/>
    </row>
    <row r="26">
      <c r="A26" s="17"/>
      <c r="B26" s="34"/>
      <c r="C26" s="77" t="s">
        <v>81</v>
      </c>
      <c r="D26" s="78" t="s">
        <v>217</v>
      </c>
      <c r="E26" s="22" t="s">
        <v>16</v>
      </c>
      <c r="F26" s="22"/>
      <c r="G26" s="22"/>
      <c r="H26" s="22"/>
      <c r="I26" s="22"/>
    </row>
    <row r="27">
      <c r="A27" s="17"/>
      <c r="B27" s="34"/>
      <c r="C27" s="77" t="s">
        <v>151</v>
      </c>
      <c r="D27" s="78" t="s">
        <v>218</v>
      </c>
      <c r="E27" s="22" t="s">
        <v>16</v>
      </c>
      <c r="F27" s="22"/>
      <c r="G27" s="22"/>
      <c r="H27" s="22"/>
      <c r="I27" s="22"/>
    </row>
    <row r="28">
      <c r="A28" s="17"/>
      <c r="B28" s="34"/>
      <c r="C28" s="77" t="s">
        <v>87</v>
      </c>
      <c r="D28" s="78" t="s">
        <v>219</v>
      </c>
      <c r="E28" s="22" t="s">
        <v>16</v>
      </c>
      <c r="F28" s="22"/>
      <c r="G28" s="22"/>
      <c r="H28" s="22"/>
      <c r="I28" s="22"/>
    </row>
    <row r="29">
      <c r="A29" s="17"/>
      <c r="B29" s="34"/>
      <c r="C29" s="77" t="s">
        <v>160</v>
      </c>
      <c r="D29" s="78" t="s">
        <v>220</v>
      </c>
      <c r="E29" s="22" t="s">
        <v>16</v>
      </c>
      <c r="F29" s="22"/>
      <c r="G29" s="22"/>
      <c r="H29" s="22"/>
      <c r="I29" s="22"/>
    </row>
    <row r="30">
      <c r="A30" s="17"/>
      <c r="B30" s="34"/>
      <c r="C30" s="78" t="s">
        <v>221</v>
      </c>
      <c r="D30" s="78" t="s">
        <v>222</v>
      </c>
      <c r="E30" s="22" t="s">
        <v>16</v>
      </c>
      <c r="F30" s="79"/>
      <c r="G30" s="79"/>
      <c r="H30" s="79"/>
      <c r="I30" s="79"/>
    </row>
    <row r="31">
      <c r="A31" s="17"/>
      <c r="B31" s="34"/>
      <c r="C31" s="78" t="s">
        <v>223</v>
      </c>
      <c r="D31" s="78" t="s">
        <v>224</v>
      </c>
      <c r="E31" s="22" t="s">
        <v>16</v>
      </c>
      <c r="F31" s="22"/>
      <c r="G31" s="22"/>
      <c r="H31" s="22"/>
      <c r="I31" s="22"/>
    </row>
    <row r="32">
      <c r="A32" s="17"/>
      <c r="B32" s="34"/>
      <c r="C32" s="78" t="s">
        <v>225</v>
      </c>
      <c r="D32" s="78" t="s">
        <v>226</v>
      </c>
      <c r="E32" s="22" t="s">
        <v>16</v>
      </c>
      <c r="F32" s="22"/>
      <c r="G32" s="22"/>
      <c r="H32" s="22"/>
      <c r="I32" s="22"/>
    </row>
    <row r="33">
      <c r="A33" s="17"/>
      <c r="B33" s="34"/>
      <c r="C33" s="78" t="s">
        <v>227</v>
      </c>
      <c r="D33" s="78" t="s">
        <v>228</v>
      </c>
      <c r="E33" s="22" t="s">
        <v>16</v>
      </c>
      <c r="F33" s="22"/>
      <c r="G33" s="22"/>
      <c r="H33" s="22"/>
      <c r="I33" s="22"/>
    </row>
    <row r="34">
      <c r="A34" s="17"/>
      <c r="B34" s="34"/>
      <c r="C34" s="78" t="s">
        <v>229</v>
      </c>
      <c r="D34" s="78" t="s">
        <v>230</v>
      </c>
      <c r="E34" s="22" t="s">
        <v>16</v>
      </c>
      <c r="F34" s="22"/>
      <c r="G34" s="22"/>
      <c r="H34" s="22"/>
      <c r="I34" s="22"/>
    </row>
    <row r="35">
      <c r="A35" s="17"/>
      <c r="B35" s="34"/>
      <c r="C35" s="78" t="s">
        <v>231</v>
      </c>
      <c r="D35" s="78" t="s">
        <v>232</v>
      </c>
      <c r="E35" s="22" t="s">
        <v>16</v>
      </c>
      <c r="F35" s="79"/>
      <c r="G35" s="79"/>
      <c r="H35" s="79"/>
      <c r="I35" s="79"/>
    </row>
    <row r="36">
      <c r="A36" s="17"/>
      <c r="B36" s="34"/>
      <c r="C36" s="78" t="s">
        <v>233</v>
      </c>
      <c r="D36" s="78" t="s">
        <v>234</v>
      </c>
      <c r="E36" s="22" t="s">
        <v>16</v>
      </c>
      <c r="F36" s="22"/>
      <c r="G36" s="22"/>
      <c r="H36" s="22"/>
      <c r="I36" s="22"/>
    </row>
    <row r="37">
      <c r="A37" s="17"/>
      <c r="B37" s="34"/>
      <c r="C37" s="78" t="s">
        <v>235</v>
      </c>
      <c r="D37" s="78" t="s">
        <v>236</v>
      </c>
      <c r="E37" s="22" t="s">
        <v>16</v>
      </c>
      <c r="F37" s="22"/>
      <c r="G37" s="22"/>
      <c r="H37" s="22"/>
      <c r="I37" s="22"/>
    </row>
    <row r="38">
      <c r="A38" s="17"/>
      <c r="B38" s="34"/>
      <c r="C38" s="78" t="s">
        <v>237</v>
      </c>
      <c r="D38" s="78" t="s">
        <v>238</v>
      </c>
      <c r="E38" s="22" t="s">
        <v>16</v>
      </c>
      <c r="F38" s="22"/>
      <c r="G38" s="22"/>
      <c r="H38" s="22"/>
      <c r="I38" s="22"/>
    </row>
    <row r="39">
      <c r="A39" s="17"/>
      <c r="B39" s="34"/>
      <c r="C39" s="77" t="s">
        <v>163</v>
      </c>
      <c r="D39" s="78" t="s">
        <v>239</v>
      </c>
      <c r="E39" s="22" t="s">
        <v>16</v>
      </c>
      <c r="F39" s="22"/>
      <c r="G39" s="22"/>
      <c r="H39" s="22"/>
      <c r="I39" s="22"/>
    </row>
    <row r="40">
      <c r="A40" s="17"/>
      <c r="B40" s="34"/>
      <c r="C40" s="77" t="s">
        <v>166</v>
      </c>
      <c r="D40" s="78" t="s">
        <v>240</v>
      </c>
      <c r="E40" s="22">
        <v>5.99196388E8</v>
      </c>
      <c r="F40" s="22"/>
      <c r="G40" s="22"/>
      <c r="H40" s="22"/>
      <c r="I40" s="22"/>
    </row>
    <row r="41">
      <c r="A41" s="17"/>
      <c r="B41" s="58"/>
      <c r="C41" s="77" t="s">
        <v>89</v>
      </c>
      <c r="D41" s="78" t="s">
        <v>9</v>
      </c>
      <c r="E41" s="22">
        <v>1.0672167752E10</v>
      </c>
      <c r="F41" s="22"/>
      <c r="G41" s="22"/>
      <c r="H41" s="22"/>
      <c r="I41" s="22"/>
    </row>
    <row r="42">
      <c r="A42" s="17"/>
      <c r="B42" s="34"/>
      <c r="C42" s="86" t="s">
        <v>241</v>
      </c>
      <c r="D42" s="78"/>
      <c r="E42" s="22"/>
      <c r="F42" s="22"/>
      <c r="G42" s="22"/>
      <c r="H42" s="22"/>
      <c r="I42" s="22"/>
    </row>
    <row r="43">
      <c r="A43" s="17"/>
      <c r="B43" s="34"/>
      <c r="C43" s="77" t="s">
        <v>169</v>
      </c>
      <c r="D43" s="78" t="s">
        <v>242</v>
      </c>
      <c r="E43" s="22">
        <v>9.65719875E8</v>
      </c>
      <c r="F43" s="22"/>
      <c r="G43" s="22"/>
      <c r="H43" s="22"/>
      <c r="I43" s="22"/>
    </row>
    <row r="44">
      <c r="A44" s="17"/>
      <c r="B44" s="34"/>
      <c r="C44" s="77" t="s">
        <v>171</v>
      </c>
      <c r="D44" s="78" t="s">
        <v>243</v>
      </c>
      <c r="E44" s="22" t="s">
        <v>16</v>
      </c>
      <c r="F44" s="22"/>
      <c r="G44" s="22"/>
      <c r="H44" s="22"/>
      <c r="I44" s="22"/>
    </row>
    <row r="45">
      <c r="A45" s="17"/>
      <c r="B45" s="34"/>
      <c r="C45" s="77" t="s">
        <v>175</v>
      </c>
      <c r="D45" s="78" t="s">
        <v>244</v>
      </c>
      <c r="E45" s="22">
        <v>9.65719875E8</v>
      </c>
      <c r="F45" s="22"/>
      <c r="G45" s="22"/>
      <c r="H45" s="22"/>
      <c r="I45" s="22"/>
    </row>
    <row r="46">
      <c r="A46" s="17"/>
      <c r="B46" s="34"/>
      <c r="C46" s="77" t="s">
        <v>245</v>
      </c>
      <c r="D46" s="78" t="s">
        <v>246</v>
      </c>
      <c r="E46" s="22" t="s">
        <v>16</v>
      </c>
      <c r="F46" s="22"/>
      <c r="G46" s="22"/>
      <c r="H46" s="22"/>
      <c r="I46" s="22"/>
    </row>
    <row r="47">
      <c r="A47" s="17"/>
      <c r="B47" s="58"/>
      <c r="C47" s="77" t="s">
        <v>187</v>
      </c>
      <c r="D47" s="78" t="s">
        <v>247</v>
      </c>
      <c r="E47" s="22">
        <v>9.65719875E8</v>
      </c>
      <c r="F47" s="22"/>
      <c r="G47" s="22"/>
      <c r="H47" s="22"/>
      <c r="I47" s="22"/>
    </row>
    <row r="48">
      <c r="A48" s="17"/>
      <c r="B48" s="34"/>
      <c r="C48" s="86" t="s">
        <v>248</v>
      </c>
      <c r="D48" s="78"/>
      <c r="E48" s="22"/>
      <c r="F48" s="22"/>
      <c r="G48" s="22"/>
      <c r="H48" s="22"/>
      <c r="I48" s="22"/>
    </row>
    <row r="49">
      <c r="A49" s="17"/>
      <c r="B49" s="34"/>
      <c r="C49" s="77" t="s">
        <v>189</v>
      </c>
      <c r="D49" s="78" t="s">
        <v>249</v>
      </c>
      <c r="E49" s="22" t="s">
        <v>16</v>
      </c>
      <c r="F49" s="22"/>
      <c r="G49" s="22"/>
      <c r="H49" s="22"/>
      <c r="I49" s="22"/>
    </row>
    <row r="50">
      <c r="A50" s="17"/>
      <c r="B50" s="34"/>
      <c r="C50" s="77" t="s">
        <v>250</v>
      </c>
      <c r="D50" s="78" t="s">
        <v>251</v>
      </c>
      <c r="E50" s="22" t="s">
        <v>16</v>
      </c>
      <c r="F50" s="22"/>
      <c r="G50" s="22"/>
      <c r="H50" s="22"/>
      <c r="I50" s="22"/>
    </row>
    <row r="51">
      <c r="A51" s="17"/>
      <c r="B51" s="34"/>
      <c r="C51" s="77" t="s">
        <v>252</v>
      </c>
      <c r="D51" s="78" t="s">
        <v>253</v>
      </c>
      <c r="E51" s="22" t="s">
        <v>16</v>
      </c>
      <c r="F51" s="22"/>
      <c r="G51" s="22"/>
      <c r="H51" s="22"/>
      <c r="I51" s="22"/>
    </row>
    <row r="52">
      <c r="A52" s="17"/>
      <c r="B52" s="34"/>
      <c r="C52" s="77" t="s">
        <v>254</v>
      </c>
      <c r="D52" s="78" t="s">
        <v>255</v>
      </c>
      <c r="E52" s="22" t="s">
        <v>16</v>
      </c>
      <c r="F52" s="22"/>
      <c r="G52" s="22"/>
      <c r="H52" s="22"/>
      <c r="I52" s="22"/>
    </row>
    <row r="53">
      <c r="A53" s="17"/>
      <c r="B53" s="34"/>
      <c r="C53" s="77" t="s">
        <v>256</v>
      </c>
      <c r="D53" s="78" t="s">
        <v>220</v>
      </c>
      <c r="E53" s="22" t="s">
        <v>16</v>
      </c>
      <c r="F53" s="22"/>
      <c r="G53" s="22"/>
      <c r="H53" s="22"/>
      <c r="I53" s="22"/>
    </row>
    <row r="54">
      <c r="A54" s="17"/>
      <c r="B54" s="34"/>
      <c r="C54" s="78" t="s">
        <v>257</v>
      </c>
      <c r="D54" s="78" t="s">
        <v>258</v>
      </c>
      <c r="E54" s="22" t="s">
        <v>16</v>
      </c>
      <c r="F54" s="22"/>
      <c r="G54" s="22"/>
      <c r="H54" s="22"/>
      <c r="I54" s="22"/>
    </row>
    <row r="55">
      <c r="A55" s="17"/>
      <c r="B55" s="34"/>
      <c r="C55" s="78" t="s">
        <v>259</v>
      </c>
      <c r="D55" s="78" t="s">
        <v>260</v>
      </c>
      <c r="E55" s="22" t="s">
        <v>16</v>
      </c>
      <c r="F55" s="22"/>
      <c r="G55" s="22"/>
      <c r="H55" s="22"/>
      <c r="I55" s="22"/>
    </row>
    <row r="56">
      <c r="A56" s="17"/>
      <c r="B56" s="34"/>
      <c r="C56" s="77" t="s">
        <v>261</v>
      </c>
      <c r="D56" s="78" t="s">
        <v>262</v>
      </c>
      <c r="E56" s="22" t="s">
        <v>16</v>
      </c>
      <c r="F56" s="22"/>
      <c r="G56" s="22"/>
      <c r="H56" s="22"/>
      <c r="I56" s="22"/>
    </row>
    <row r="57">
      <c r="A57" s="17"/>
      <c r="B57" s="34"/>
      <c r="C57" s="77" t="s">
        <v>263</v>
      </c>
      <c r="D57" s="80" t="s">
        <v>264</v>
      </c>
      <c r="E57" s="22" t="s">
        <v>16</v>
      </c>
      <c r="F57" s="22"/>
      <c r="G57" s="22"/>
      <c r="H57" s="22"/>
      <c r="I57" s="22"/>
    </row>
    <row r="58">
      <c r="A58" s="17"/>
      <c r="B58" s="34"/>
      <c r="C58" s="77" t="s">
        <v>265</v>
      </c>
      <c r="D58" s="80" t="s">
        <v>266</v>
      </c>
      <c r="E58" s="22">
        <v>9.65719875E8</v>
      </c>
      <c r="F58" s="22"/>
      <c r="G58" s="22"/>
      <c r="H58" s="22"/>
      <c r="I58" s="22"/>
    </row>
    <row r="59">
      <c r="A59" s="17"/>
      <c r="B59" s="58"/>
      <c r="C59" s="77" t="s">
        <v>267</v>
      </c>
      <c r="D59" s="80" t="s">
        <v>11</v>
      </c>
      <c r="E59" s="22">
        <v>1.1637887627E10</v>
      </c>
      <c r="F59" s="22"/>
      <c r="G59" s="22"/>
      <c r="H59" s="22"/>
      <c r="I59" s="22"/>
    </row>
    <row r="60">
      <c r="A60" s="17"/>
      <c r="B60" s="34"/>
      <c r="C60" s="81" t="s">
        <v>268</v>
      </c>
      <c r="D60" s="82"/>
      <c r="E60" s="83"/>
      <c r="F60" s="87"/>
      <c r="G60" s="88"/>
      <c r="H60" s="88"/>
      <c r="I60" s="88"/>
    </row>
    <row r="61">
      <c r="A61" s="17"/>
      <c r="B61" s="34"/>
      <c r="C61" s="77" t="s">
        <v>269</v>
      </c>
      <c r="D61" s="78" t="s">
        <v>270</v>
      </c>
      <c r="E61" s="22">
        <v>1.133007105E9</v>
      </c>
      <c r="F61" s="22"/>
      <c r="G61" s="22"/>
      <c r="H61" s="22"/>
      <c r="I61" s="22"/>
    </row>
    <row r="62">
      <c r="A62" s="17"/>
      <c r="B62" s="34"/>
      <c r="C62" s="77" t="s">
        <v>271</v>
      </c>
      <c r="D62" s="78" t="s">
        <v>272</v>
      </c>
      <c r="E62" s="22" t="s">
        <v>16</v>
      </c>
      <c r="F62" s="22"/>
      <c r="G62" s="22"/>
      <c r="H62" s="22"/>
      <c r="I62" s="22"/>
    </row>
    <row r="63">
      <c r="A63" s="17"/>
      <c r="B63" s="58"/>
      <c r="C63" s="77" t="s">
        <v>273</v>
      </c>
      <c r="D63" s="80" t="s">
        <v>274</v>
      </c>
      <c r="E63" s="22">
        <v>1.133007105E9</v>
      </c>
      <c r="F63" s="22"/>
      <c r="G63" s="22"/>
      <c r="H63" s="22"/>
      <c r="I63" s="22"/>
    </row>
    <row r="64">
      <c r="A64" s="17"/>
      <c r="B64" s="34"/>
      <c r="C64" s="81" t="s">
        <v>275</v>
      </c>
      <c r="D64" s="82"/>
      <c r="E64" s="83"/>
      <c r="F64" s="87"/>
      <c r="G64" s="88"/>
      <c r="H64" s="88"/>
      <c r="I64" s="88"/>
    </row>
    <row r="65">
      <c r="A65" s="17"/>
      <c r="B65" s="34"/>
      <c r="C65" s="77" t="s">
        <v>276</v>
      </c>
      <c r="D65" s="78" t="s">
        <v>277</v>
      </c>
      <c r="E65" s="22" t="s">
        <v>16</v>
      </c>
      <c r="F65" s="22"/>
      <c r="G65" s="22"/>
      <c r="H65" s="22"/>
      <c r="I65" s="22"/>
    </row>
    <row r="66">
      <c r="A66" s="17"/>
      <c r="B66" s="34"/>
      <c r="C66" s="77" t="s">
        <v>278</v>
      </c>
      <c r="D66" s="78" t="s">
        <v>279</v>
      </c>
      <c r="E66" s="22" t="s">
        <v>16</v>
      </c>
      <c r="F66" s="22"/>
      <c r="G66" s="22"/>
      <c r="H66" s="22"/>
      <c r="I66" s="22"/>
    </row>
    <row r="67">
      <c r="A67" s="17"/>
      <c r="B67" s="34"/>
      <c r="C67" s="77" t="s">
        <v>280</v>
      </c>
      <c r="D67" s="78" t="s">
        <v>281</v>
      </c>
      <c r="E67" s="22" t="s">
        <v>16</v>
      </c>
      <c r="F67" s="22"/>
      <c r="G67" s="22"/>
      <c r="H67" s="22"/>
      <c r="I67" s="22"/>
    </row>
    <row r="68">
      <c r="A68" s="17"/>
      <c r="B68" s="34"/>
      <c r="C68" s="77" t="s">
        <v>282</v>
      </c>
      <c r="D68" s="78" t="s">
        <v>283</v>
      </c>
      <c r="E68" s="22" t="s">
        <v>16</v>
      </c>
      <c r="F68" s="22"/>
      <c r="G68" s="22"/>
      <c r="H68" s="22"/>
      <c r="I68" s="22"/>
    </row>
    <row r="69">
      <c r="A69" s="17"/>
      <c r="B69" s="34"/>
      <c r="C69" s="77" t="s">
        <v>284</v>
      </c>
      <c r="D69" s="78" t="s">
        <v>220</v>
      </c>
      <c r="E69" s="22" t="s">
        <v>16</v>
      </c>
      <c r="F69" s="22"/>
      <c r="G69" s="22"/>
      <c r="H69" s="22"/>
      <c r="I69" s="22"/>
    </row>
    <row r="70">
      <c r="A70" s="17"/>
      <c r="B70" s="34"/>
      <c r="C70" s="78" t="s">
        <v>285</v>
      </c>
      <c r="D70" s="78" t="s">
        <v>286</v>
      </c>
      <c r="E70" s="22" t="s">
        <v>16</v>
      </c>
      <c r="F70" s="22"/>
      <c r="G70" s="22"/>
      <c r="H70" s="22"/>
      <c r="I70" s="22"/>
    </row>
    <row r="71">
      <c r="A71" s="17"/>
      <c r="B71" s="34"/>
      <c r="C71" s="78" t="s">
        <v>287</v>
      </c>
      <c r="D71" s="78" t="s">
        <v>288</v>
      </c>
      <c r="E71" s="22" t="s">
        <v>16</v>
      </c>
      <c r="F71" s="22"/>
      <c r="G71" s="22"/>
      <c r="H71" s="22"/>
      <c r="I71" s="22"/>
    </row>
    <row r="72">
      <c r="A72" s="17"/>
      <c r="B72" s="34"/>
      <c r="C72" s="77" t="s">
        <v>289</v>
      </c>
      <c r="D72" s="80" t="s">
        <v>290</v>
      </c>
      <c r="E72" s="22"/>
      <c r="F72" s="22"/>
      <c r="G72" s="22"/>
      <c r="H72" s="22"/>
      <c r="I72" s="22"/>
    </row>
    <row r="73">
      <c r="A73" s="17"/>
      <c r="B73" s="34"/>
      <c r="C73" s="77" t="s">
        <v>291</v>
      </c>
      <c r="D73" s="80" t="s">
        <v>106</v>
      </c>
      <c r="E73" s="22">
        <v>1.133007105E9</v>
      </c>
      <c r="F73" s="22"/>
      <c r="G73" s="22"/>
      <c r="H73" s="22"/>
      <c r="I73" s="22"/>
    </row>
    <row r="74">
      <c r="A74" s="17"/>
      <c r="B74" s="34"/>
      <c r="C74" s="77" t="s">
        <v>292</v>
      </c>
      <c r="D74" s="80" t="s">
        <v>293</v>
      </c>
      <c r="E74" s="22">
        <v>1.2770894732E10</v>
      </c>
      <c r="F74" s="22"/>
      <c r="G74" s="22"/>
      <c r="H74" s="22"/>
      <c r="I74" s="22"/>
    </row>
    <row r="75">
      <c r="A75" s="17"/>
      <c r="B75" s="58"/>
      <c r="C75" s="77" t="s">
        <v>294</v>
      </c>
      <c r="D75" s="80" t="s">
        <v>295</v>
      </c>
      <c r="E75" s="22">
        <v>9.3557039207E10</v>
      </c>
      <c r="F75" s="22"/>
      <c r="G75" s="22"/>
      <c r="H75" s="22"/>
      <c r="I75" s="22"/>
    </row>
    <row r="76">
      <c r="A76" s="17"/>
      <c r="B76" s="34"/>
      <c r="C76" s="81" t="s">
        <v>296</v>
      </c>
      <c r="D76" s="89"/>
      <c r="E76" s="90"/>
      <c r="F76" s="91"/>
      <c r="G76" s="92"/>
      <c r="H76" s="92"/>
      <c r="I76" s="92"/>
    </row>
    <row r="77">
      <c r="A77" s="17"/>
      <c r="B77" s="34"/>
      <c r="C77" s="77" t="s">
        <v>297</v>
      </c>
      <c r="D77" s="80" t="s">
        <v>24</v>
      </c>
      <c r="E77" s="28">
        <v>0.1141</v>
      </c>
      <c r="F77" s="93"/>
      <c r="G77" s="93"/>
      <c r="H77" s="93"/>
      <c r="I77" s="93"/>
    </row>
    <row r="78">
      <c r="A78" s="17"/>
      <c r="B78" s="34"/>
      <c r="C78" s="77" t="s">
        <v>298</v>
      </c>
      <c r="D78" s="80" t="s">
        <v>299</v>
      </c>
      <c r="E78" s="28">
        <v>0.1244</v>
      </c>
      <c r="F78" s="93"/>
      <c r="G78" s="93"/>
      <c r="H78" s="93"/>
      <c r="I78" s="93"/>
    </row>
    <row r="79">
      <c r="A79" s="17"/>
      <c r="B79" s="34"/>
      <c r="C79" s="77" t="s">
        <v>300</v>
      </c>
      <c r="D79" s="80" t="s">
        <v>301</v>
      </c>
      <c r="E79" s="28">
        <v>0.1365</v>
      </c>
      <c r="F79" s="93"/>
      <c r="G79" s="93"/>
      <c r="H79" s="93"/>
      <c r="I79" s="93"/>
    </row>
    <row r="80">
      <c r="A80" s="17"/>
      <c r="B80" s="34"/>
      <c r="C80" s="77" t="s">
        <v>302</v>
      </c>
      <c r="D80" s="80" t="s">
        <v>303</v>
      </c>
      <c r="E80" s="28">
        <v>0.0</v>
      </c>
      <c r="F80" s="93"/>
      <c r="G80" s="93"/>
      <c r="H80" s="93"/>
      <c r="I80" s="93"/>
    </row>
    <row r="81">
      <c r="A81" s="17"/>
      <c r="B81" s="34"/>
      <c r="C81" s="77" t="s">
        <v>304</v>
      </c>
      <c r="D81" s="78" t="s">
        <v>305</v>
      </c>
      <c r="E81" s="28">
        <v>0.0</v>
      </c>
      <c r="F81" s="93"/>
      <c r="G81" s="93"/>
      <c r="H81" s="93"/>
      <c r="I81" s="93"/>
    </row>
    <row r="82">
      <c r="A82" s="17"/>
      <c r="B82" s="34"/>
      <c r="C82" s="77" t="s">
        <v>306</v>
      </c>
      <c r="D82" s="78" t="s">
        <v>307</v>
      </c>
      <c r="E82" s="28">
        <v>0.0</v>
      </c>
      <c r="F82" s="93"/>
      <c r="G82" s="93"/>
      <c r="H82" s="93"/>
      <c r="I82" s="93"/>
    </row>
    <row r="83">
      <c r="A83" s="17"/>
      <c r="B83" s="34"/>
      <c r="C83" s="77" t="s">
        <v>308</v>
      </c>
      <c r="D83" s="78" t="s">
        <v>309</v>
      </c>
      <c r="E83" s="28">
        <v>0.0</v>
      </c>
      <c r="F83" s="93"/>
      <c r="G83" s="93"/>
      <c r="H83" s="93"/>
      <c r="I83" s="93"/>
    </row>
    <row r="84">
      <c r="A84" s="17"/>
      <c r="B84" s="58"/>
      <c r="C84" s="77" t="s">
        <v>310</v>
      </c>
      <c r="D84" s="78" t="s">
        <v>311</v>
      </c>
      <c r="E84" s="28">
        <v>0.0691</v>
      </c>
      <c r="F84" s="93"/>
      <c r="G84" s="93"/>
      <c r="H84" s="93"/>
      <c r="I84" s="93"/>
    </row>
    <row r="85">
      <c r="A85" s="17"/>
      <c r="B85" s="34"/>
      <c r="C85" s="81" t="s">
        <v>312</v>
      </c>
      <c r="D85" s="82"/>
      <c r="E85" s="83"/>
      <c r="F85" s="87"/>
      <c r="G85" s="88"/>
      <c r="H85" s="88"/>
      <c r="I85" s="88"/>
    </row>
    <row r="86">
      <c r="A86" s="17"/>
      <c r="B86" s="34"/>
      <c r="C86" s="77" t="s">
        <v>313</v>
      </c>
      <c r="D86" s="94" t="s">
        <v>314</v>
      </c>
      <c r="E86" s="22" t="s">
        <v>16</v>
      </c>
      <c r="F86" s="22"/>
      <c r="G86" s="22"/>
      <c r="H86" s="22"/>
      <c r="I86" s="22"/>
    </row>
    <row r="87">
      <c r="A87" s="17"/>
      <c r="B87" s="34"/>
      <c r="C87" s="77" t="s">
        <v>315</v>
      </c>
      <c r="D87" s="94" t="s">
        <v>316</v>
      </c>
      <c r="E87" s="22" t="s">
        <v>16</v>
      </c>
      <c r="F87" s="22"/>
      <c r="G87" s="22"/>
      <c r="H87" s="22"/>
      <c r="I87" s="22"/>
    </row>
    <row r="88">
      <c r="A88" s="17"/>
      <c r="B88" s="58"/>
      <c r="C88" s="77" t="s">
        <v>317</v>
      </c>
      <c r="D88" s="94" t="s">
        <v>318</v>
      </c>
      <c r="E88" s="22">
        <v>6.6692081E8</v>
      </c>
      <c r="F88" s="79"/>
      <c r="G88" s="79"/>
      <c r="H88" s="79"/>
      <c r="I88" s="79"/>
    </row>
    <row r="89">
      <c r="A89" s="32"/>
      <c r="B89" s="32"/>
      <c r="C89" s="32"/>
      <c r="D89" s="32"/>
      <c r="E89" s="49"/>
      <c r="F89" s="50"/>
      <c r="G89" s="50"/>
      <c r="H89" s="50"/>
      <c r="I89" s="50"/>
    </row>
    <row r="90">
      <c r="A90" s="32"/>
      <c r="B90" s="32"/>
      <c r="C90" s="33" t="s">
        <v>60</v>
      </c>
      <c r="D90" s="32"/>
    </row>
    <row r="91">
      <c r="A91" s="32"/>
      <c r="B91" s="32"/>
      <c r="C91" s="95" t="s">
        <v>319</v>
      </c>
      <c r="D91" s="36"/>
      <c r="E91" s="36"/>
      <c r="F91" s="36"/>
      <c r="G91" s="36"/>
      <c r="H91" s="36"/>
      <c r="I91" s="95"/>
    </row>
    <row r="92">
      <c r="A92" s="32"/>
      <c r="B92" s="32"/>
      <c r="C92" s="32"/>
      <c r="D92" s="32"/>
      <c r="E92" s="49"/>
      <c r="F92" s="50"/>
      <c r="G92" s="50"/>
      <c r="H92" s="50"/>
      <c r="I92" s="50"/>
    </row>
    <row r="93">
      <c r="A93" s="32"/>
      <c r="B93" s="32"/>
      <c r="C93" s="32"/>
      <c r="D93" s="32"/>
      <c r="E93" s="49"/>
      <c r="F93" s="50"/>
      <c r="G93" s="50"/>
      <c r="H93" s="50"/>
      <c r="I93" s="50"/>
    </row>
    <row r="94">
      <c r="A94" s="32"/>
      <c r="B94" s="32"/>
      <c r="C94" s="32"/>
      <c r="D94" s="32"/>
      <c r="E94" s="49"/>
      <c r="F94" s="50"/>
      <c r="G94" s="50"/>
      <c r="H94" s="50"/>
      <c r="I94" s="50"/>
    </row>
  </sheetData>
  <mergeCells count="2">
    <mergeCell ref="E5:F5"/>
    <mergeCell ref="C91:H9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2.75"/>
    <col customWidth="1" min="4" max="4" width="68.13"/>
    <col customWidth="1" min="5" max="8" width="16.63"/>
  </cols>
  <sheetData>
    <row r="1">
      <c r="A1" s="1"/>
      <c r="B1" s="1"/>
      <c r="C1" s="1"/>
      <c r="D1" s="1"/>
      <c r="E1" s="2"/>
      <c r="F1" s="3"/>
      <c r="G1" s="3"/>
      <c r="H1" s="3"/>
    </row>
    <row r="2" ht="6.75" customHeight="1">
      <c r="A2" s="1"/>
      <c r="B2" s="4"/>
      <c r="C2" s="4"/>
      <c r="D2" s="4"/>
      <c r="E2" s="5"/>
      <c r="F2" s="6"/>
      <c r="G2" s="6"/>
      <c r="H2" s="6"/>
    </row>
    <row r="3">
      <c r="A3" s="1"/>
      <c r="B3" s="4"/>
      <c r="C3" s="4"/>
      <c r="D3" s="4"/>
      <c r="E3" s="5"/>
      <c r="F3" s="6"/>
      <c r="G3" s="6"/>
      <c r="H3" s="6"/>
    </row>
    <row r="4">
      <c r="A4" s="1"/>
      <c r="B4" s="4"/>
      <c r="C4" s="4"/>
      <c r="D4" s="4"/>
      <c r="E4" s="5"/>
      <c r="F4" s="6"/>
      <c r="G4" s="6"/>
      <c r="H4" s="6"/>
    </row>
    <row r="5">
      <c r="A5" s="7"/>
      <c r="B5" s="8"/>
      <c r="C5" s="96" t="s">
        <v>320</v>
      </c>
      <c r="D5" s="4"/>
      <c r="E5" s="74" t="s">
        <v>93</v>
      </c>
      <c r="F5" s="42"/>
      <c r="G5" s="42"/>
      <c r="H5" s="54"/>
    </row>
    <row r="6">
      <c r="A6" s="1"/>
      <c r="B6" s="4"/>
      <c r="C6" s="4"/>
      <c r="D6" s="4"/>
      <c r="E6" s="55" t="s">
        <v>1</v>
      </c>
      <c r="F6" s="43" t="s">
        <v>2</v>
      </c>
      <c r="G6" s="43" t="s">
        <v>3</v>
      </c>
      <c r="H6" s="43"/>
    </row>
    <row r="7">
      <c r="A7" s="10"/>
      <c r="B7" s="11"/>
      <c r="C7" s="12" t="s">
        <v>6</v>
      </c>
      <c r="D7" s="97"/>
      <c r="E7" s="98" t="s">
        <v>321</v>
      </c>
      <c r="F7" s="98" t="s">
        <v>322</v>
      </c>
      <c r="G7" s="99" t="s">
        <v>323</v>
      </c>
      <c r="H7" s="99"/>
    </row>
    <row r="8">
      <c r="A8" s="15"/>
      <c r="B8" s="15"/>
      <c r="C8" s="16" t="s">
        <v>324</v>
      </c>
      <c r="D8" s="17"/>
      <c r="E8" s="18"/>
      <c r="F8" s="18"/>
      <c r="G8" s="19"/>
      <c r="H8" s="19"/>
    </row>
    <row r="9">
      <c r="A9" s="20"/>
      <c r="B9" s="20"/>
      <c r="C9" s="20" t="s">
        <v>8</v>
      </c>
      <c r="D9" s="21" t="s">
        <v>325</v>
      </c>
      <c r="E9" s="22">
        <v>1.52117038E8</v>
      </c>
      <c r="F9" s="22">
        <v>1.52117038E8</v>
      </c>
      <c r="G9" s="23"/>
      <c r="H9" s="23"/>
    </row>
    <row r="10">
      <c r="A10" s="20"/>
      <c r="B10" s="20"/>
      <c r="C10" s="20"/>
      <c r="D10" s="21" t="s">
        <v>326</v>
      </c>
      <c r="E10" s="22">
        <v>298073.0</v>
      </c>
      <c r="F10" s="22">
        <v>298073.0</v>
      </c>
      <c r="G10" s="23"/>
      <c r="H10" s="23"/>
    </row>
    <row r="11">
      <c r="A11" s="20"/>
      <c r="B11" s="20"/>
      <c r="C11" s="20" t="s">
        <v>10</v>
      </c>
      <c r="D11" s="21" t="s">
        <v>327</v>
      </c>
      <c r="E11" s="22">
        <v>1.04722953195E11</v>
      </c>
      <c r="F11" s="22">
        <v>1.04722953195E11</v>
      </c>
      <c r="G11" s="23"/>
      <c r="H11" s="23"/>
    </row>
    <row r="12">
      <c r="A12" s="20"/>
      <c r="B12" s="20"/>
      <c r="C12" s="20"/>
      <c r="D12" s="21" t="s">
        <v>328</v>
      </c>
      <c r="E12" s="22">
        <v>3.7951859139E10</v>
      </c>
      <c r="F12" s="22">
        <v>3.7951859139E10</v>
      </c>
      <c r="G12" s="23"/>
      <c r="H12" s="23"/>
    </row>
    <row r="13">
      <c r="A13" s="20"/>
      <c r="B13" s="20"/>
      <c r="C13" s="20" t="s">
        <v>12</v>
      </c>
      <c r="D13" s="21" t="s">
        <v>329</v>
      </c>
      <c r="E13" s="22" t="s">
        <v>16</v>
      </c>
      <c r="F13" s="22" t="s">
        <v>16</v>
      </c>
      <c r="G13" s="23"/>
      <c r="H13" s="23"/>
    </row>
    <row r="14">
      <c r="A14" s="15"/>
      <c r="B14" s="15"/>
      <c r="C14" s="20" t="s">
        <v>20</v>
      </c>
      <c r="D14" s="21" t="s">
        <v>330</v>
      </c>
      <c r="E14" s="22">
        <v>-6.176045762E9</v>
      </c>
      <c r="F14" s="22">
        <v>-6.176045762E9</v>
      </c>
      <c r="G14" s="23"/>
      <c r="H14" s="23"/>
    </row>
    <row r="15">
      <c r="A15" s="20"/>
      <c r="B15" s="20"/>
      <c r="C15" s="20" t="s">
        <v>23</v>
      </c>
      <c r="D15" s="21" t="s">
        <v>331</v>
      </c>
      <c r="E15" s="22">
        <v>6.725930301E9</v>
      </c>
      <c r="F15" s="22">
        <v>6.725930301E9</v>
      </c>
      <c r="G15" s="23"/>
      <c r="H15" s="23"/>
    </row>
    <row r="16">
      <c r="A16" s="20"/>
      <c r="B16" s="20"/>
      <c r="C16" s="20" t="s">
        <v>25</v>
      </c>
      <c r="D16" s="30" t="s">
        <v>332</v>
      </c>
      <c r="E16" s="22">
        <v>1.69438746E8</v>
      </c>
      <c r="F16" s="22">
        <v>1.69438746E8</v>
      </c>
      <c r="G16" s="100"/>
      <c r="H16" s="100"/>
    </row>
    <row r="17">
      <c r="A17" s="20"/>
      <c r="B17" s="20"/>
      <c r="C17" s="20"/>
      <c r="D17" s="30" t="s">
        <v>333</v>
      </c>
      <c r="E17" s="22" t="s">
        <v>16</v>
      </c>
      <c r="F17" s="22" t="s">
        <v>16</v>
      </c>
      <c r="G17" s="23"/>
      <c r="H17" s="23"/>
    </row>
    <row r="18">
      <c r="A18" s="15"/>
      <c r="B18" s="15"/>
      <c r="C18" s="16"/>
      <c r="D18" s="30" t="s">
        <v>334</v>
      </c>
      <c r="E18" s="22" t="s">
        <v>16</v>
      </c>
      <c r="F18" s="22" t="s">
        <v>16</v>
      </c>
      <c r="G18" s="23"/>
      <c r="H18" s="23"/>
    </row>
    <row r="19">
      <c r="A19" s="20"/>
      <c r="B19" s="20"/>
      <c r="C19" s="20"/>
      <c r="D19" s="21" t="s">
        <v>335</v>
      </c>
      <c r="E19" s="22">
        <v>1.69438746E8</v>
      </c>
      <c r="F19" s="22">
        <v>1.69438746E8</v>
      </c>
      <c r="G19" s="23"/>
      <c r="H19" s="23"/>
    </row>
    <row r="20">
      <c r="A20" s="20"/>
      <c r="B20" s="20"/>
      <c r="C20" s="20" t="s">
        <v>27</v>
      </c>
      <c r="D20" s="21" t="s">
        <v>336</v>
      </c>
      <c r="E20" s="22">
        <v>2.10742669E8</v>
      </c>
      <c r="F20" s="22">
        <v>2.10742669E8</v>
      </c>
      <c r="G20" s="23"/>
      <c r="H20" s="23"/>
    </row>
    <row r="21">
      <c r="A21" s="20"/>
      <c r="B21" s="20"/>
      <c r="C21" s="20" t="s">
        <v>30</v>
      </c>
      <c r="D21" s="21" t="s">
        <v>337</v>
      </c>
      <c r="E21" s="22">
        <v>2.377391938E9</v>
      </c>
      <c r="F21" s="22">
        <v>2.377391938E9</v>
      </c>
      <c r="G21" s="100"/>
      <c r="H21" s="100"/>
    </row>
    <row r="22">
      <c r="A22" s="20"/>
      <c r="B22" s="20"/>
      <c r="C22" s="20" t="s">
        <v>32</v>
      </c>
      <c r="D22" s="21" t="s">
        <v>338</v>
      </c>
      <c r="E22" s="22">
        <v>-7.64653211E8</v>
      </c>
      <c r="F22" s="22">
        <v>-7.64653211E8</v>
      </c>
      <c r="G22" s="23"/>
      <c r="H22" s="23"/>
    </row>
    <row r="23">
      <c r="A23" s="20"/>
      <c r="B23" s="20"/>
      <c r="C23" s="20" t="s">
        <v>34</v>
      </c>
      <c r="D23" s="21" t="s">
        <v>339</v>
      </c>
      <c r="E23" s="22" t="s">
        <v>16</v>
      </c>
      <c r="F23" s="22" t="s">
        <v>16</v>
      </c>
      <c r="G23" s="23"/>
      <c r="H23" s="23"/>
    </row>
    <row r="24">
      <c r="A24" s="15"/>
      <c r="B24" s="15"/>
      <c r="C24" s="20"/>
      <c r="D24" s="21" t="s">
        <v>340</v>
      </c>
      <c r="E24" s="22">
        <v>4.4667351587E10</v>
      </c>
      <c r="F24" s="22">
        <v>4.4667351587E10</v>
      </c>
      <c r="G24" s="101"/>
      <c r="H24" s="101"/>
    </row>
    <row r="25">
      <c r="A25" s="20"/>
      <c r="B25" s="20"/>
      <c r="C25" s="20" t="s">
        <v>36</v>
      </c>
      <c r="D25" s="21" t="s">
        <v>341</v>
      </c>
      <c r="E25" s="22">
        <v>1.90037383712E11</v>
      </c>
      <c r="F25" s="22">
        <v>1.90037383712E11</v>
      </c>
      <c r="G25" s="23"/>
      <c r="H25" s="23"/>
    </row>
    <row r="26">
      <c r="A26" s="20"/>
      <c r="B26" s="16"/>
      <c r="C26" s="24" t="s">
        <v>342</v>
      </c>
      <c r="D26" s="102"/>
      <c r="E26" s="103"/>
      <c r="F26" s="103"/>
      <c r="G26" s="104"/>
      <c r="H26" s="23"/>
    </row>
    <row r="27">
      <c r="A27" s="15"/>
      <c r="B27" s="15"/>
      <c r="C27" s="105" t="s">
        <v>38</v>
      </c>
      <c r="D27" s="21" t="s">
        <v>343</v>
      </c>
      <c r="E27" s="22">
        <v>1.1677259584E11</v>
      </c>
      <c r="F27" s="22">
        <v>1.1677259584E11</v>
      </c>
      <c r="G27" s="23"/>
      <c r="H27" s="23"/>
    </row>
    <row r="28">
      <c r="A28" s="20"/>
      <c r="B28" s="20"/>
      <c r="C28" s="105" t="s">
        <v>41</v>
      </c>
      <c r="D28" s="21" t="s">
        <v>344</v>
      </c>
      <c r="E28" s="22">
        <v>3.8835419E7</v>
      </c>
      <c r="F28" s="22">
        <v>3.8835419E7</v>
      </c>
      <c r="G28" s="23"/>
      <c r="H28" s="23"/>
    </row>
    <row r="29">
      <c r="A29" s="20"/>
      <c r="B29" s="20"/>
      <c r="C29" s="105" t="s">
        <v>44</v>
      </c>
      <c r="D29" s="21" t="s">
        <v>345</v>
      </c>
      <c r="E29" s="22">
        <v>2.17793662E8</v>
      </c>
      <c r="F29" s="22">
        <v>2.17793662E8</v>
      </c>
      <c r="G29" s="23"/>
      <c r="H29" s="23"/>
    </row>
    <row r="30">
      <c r="A30" s="20"/>
      <c r="B30" s="20"/>
      <c r="C30" s="20"/>
      <c r="D30" s="21" t="s">
        <v>346</v>
      </c>
      <c r="E30" s="22">
        <v>6.1736794652E10</v>
      </c>
      <c r="F30" s="22">
        <v>6.1736794652E10</v>
      </c>
      <c r="G30" s="23"/>
      <c r="H30" s="23"/>
    </row>
    <row r="31">
      <c r="A31" s="20"/>
      <c r="B31" s="20"/>
      <c r="C31" s="105" t="s">
        <v>47</v>
      </c>
      <c r="D31" s="21" t="s">
        <v>347</v>
      </c>
      <c r="E31" s="22">
        <v>1.78766019573E11</v>
      </c>
      <c r="F31" s="22">
        <v>1.78766019573E11</v>
      </c>
      <c r="G31" s="23"/>
      <c r="H31" s="23"/>
    </row>
    <row r="32">
      <c r="A32" s="20"/>
      <c r="B32" s="20"/>
      <c r="C32" s="24" t="s">
        <v>348</v>
      </c>
      <c r="D32" s="102"/>
      <c r="E32" s="103"/>
      <c r="F32" s="103"/>
      <c r="G32" s="104"/>
      <c r="H32" s="23"/>
    </row>
    <row r="33">
      <c r="A33" s="31"/>
      <c r="B33" s="31"/>
      <c r="C33" s="105" t="s">
        <v>49</v>
      </c>
      <c r="D33" s="21" t="s">
        <v>349</v>
      </c>
      <c r="E33" s="22">
        <v>5.887321644E9</v>
      </c>
      <c r="F33" s="22">
        <v>5.887321644E9</v>
      </c>
      <c r="G33" s="100" t="s">
        <v>197</v>
      </c>
      <c r="H33" s="100"/>
    </row>
    <row r="34">
      <c r="A34" s="33"/>
      <c r="B34" s="33"/>
      <c r="C34" s="105" t="s">
        <v>51</v>
      </c>
      <c r="D34" s="21" t="s">
        <v>350</v>
      </c>
      <c r="E34" s="22">
        <v>5.887321644E9</v>
      </c>
      <c r="F34" s="22">
        <v>5.887321644E9</v>
      </c>
      <c r="G34" s="100"/>
      <c r="H34" s="100"/>
    </row>
    <row r="35">
      <c r="A35" s="31"/>
      <c r="B35" s="31"/>
      <c r="C35" s="105" t="s">
        <v>54</v>
      </c>
      <c r="D35" s="21" t="s">
        <v>351</v>
      </c>
      <c r="E35" s="22" t="s">
        <v>16</v>
      </c>
      <c r="F35" s="22" t="s">
        <v>16</v>
      </c>
      <c r="G35" s="100"/>
      <c r="H35" s="100"/>
    </row>
    <row r="36">
      <c r="A36" s="31"/>
      <c r="B36" s="31"/>
      <c r="C36" s="105" t="s">
        <v>56</v>
      </c>
      <c r="D36" s="21" t="s">
        <v>352</v>
      </c>
      <c r="E36" s="22">
        <v>4.280895414E9</v>
      </c>
      <c r="F36" s="22">
        <v>4.280895414E9</v>
      </c>
      <c r="G36" s="100" t="s">
        <v>199</v>
      </c>
      <c r="H36" s="100"/>
    </row>
    <row r="37">
      <c r="A37" s="31"/>
      <c r="B37" s="31"/>
      <c r="C37" s="105" t="s">
        <v>58</v>
      </c>
      <c r="D37" s="21" t="s">
        <v>353</v>
      </c>
      <c r="E37" s="22">
        <v>9.98743528E8</v>
      </c>
      <c r="F37" s="22">
        <v>9.98743528E8</v>
      </c>
      <c r="G37" s="100" t="s">
        <v>201</v>
      </c>
      <c r="H37" s="100"/>
    </row>
    <row r="38">
      <c r="A38" s="31"/>
      <c r="B38" s="31"/>
      <c r="C38" s="105" t="s">
        <v>79</v>
      </c>
      <c r="D38" s="21" t="s">
        <v>354</v>
      </c>
      <c r="E38" s="22">
        <v>1.04403553E8</v>
      </c>
      <c r="F38" s="22">
        <v>1.04403553E8</v>
      </c>
      <c r="G38" s="100" t="s">
        <v>199</v>
      </c>
      <c r="H38" s="100"/>
    </row>
    <row r="39">
      <c r="A39" s="1"/>
      <c r="B39" s="1"/>
      <c r="C39" s="105" t="s">
        <v>81</v>
      </c>
      <c r="D39" s="21" t="s">
        <v>355</v>
      </c>
      <c r="E39" s="22" t="s">
        <v>16</v>
      </c>
      <c r="F39" s="22" t="s">
        <v>16</v>
      </c>
      <c r="G39" s="100"/>
      <c r="H39" s="100"/>
    </row>
    <row r="40">
      <c r="A40" s="1"/>
      <c r="B40" s="31"/>
      <c r="C40" s="105" t="s">
        <v>151</v>
      </c>
      <c r="D40" s="106" t="s">
        <v>356</v>
      </c>
      <c r="E40" s="22">
        <v>1.127136414E10</v>
      </c>
      <c r="F40" s="22">
        <v>1.127136414E10</v>
      </c>
      <c r="G40" s="100" t="s">
        <v>204</v>
      </c>
      <c r="H40" s="100"/>
    </row>
    <row r="41">
      <c r="A41" s="1"/>
      <c r="B41" s="31"/>
      <c r="C41" s="20"/>
      <c r="D41" s="21"/>
      <c r="E41" s="22"/>
      <c r="F41" s="22"/>
      <c r="G41" s="23"/>
      <c r="H41" s="23"/>
    </row>
    <row r="42">
      <c r="A42" s="1"/>
      <c r="B42" s="31"/>
      <c r="C42" s="33" t="s">
        <v>60</v>
      </c>
      <c r="D42" s="32"/>
    </row>
    <row r="43">
      <c r="A43" s="7"/>
      <c r="B43" s="31"/>
      <c r="C43" s="95" t="s">
        <v>319</v>
      </c>
      <c r="D43" s="36"/>
      <c r="E43" s="36"/>
      <c r="F43" s="36"/>
      <c r="G43" s="36"/>
      <c r="H43" s="36"/>
    </row>
    <row r="44">
      <c r="A44" s="1"/>
      <c r="B44" s="31"/>
      <c r="C44" s="20"/>
      <c r="D44" s="21"/>
      <c r="E44" s="22"/>
      <c r="F44" s="22"/>
      <c r="G44" s="23"/>
      <c r="H44" s="23"/>
    </row>
    <row r="45">
      <c r="A45" s="10"/>
      <c r="B45" s="31"/>
      <c r="C45" s="20"/>
      <c r="D45" s="21"/>
      <c r="E45" s="22"/>
      <c r="F45" s="22"/>
      <c r="G45" s="23"/>
      <c r="H45" s="23"/>
    </row>
    <row r="46">
      <c r="A46" s="15"/>
      <c r="B46" s="15"/>
      <c r="C46" s="16"/>
      <c r="D46" s="17"/>
      <c r="E46" s="18"/>
      <c r="F46" s="18"/>
      <c r="G46" s="19"/>
      <c r="H46" s="19"/>
    </row>
  </sheetData>
  <mergeCells count="2">
    <mergeCell ref="E5:G5"/>
    <mergeCell ref="C43:H4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2.75"/>
    <col customWidth="1" min="4" max="4" width="44.13"/>
    <col customWidth="1" min="5" max="9" width="18.75"/>
  </cols>
  <sheetData>
    <row r="1">
      <c r="A1" s="1"/>
      <c r="B1" s="1"/>
      <c r="C1" s="1"/>
      <c r="D1" s="1"/>
      <c r="E1" s="2"/>
      <c r="F1" s="3"/>
      <c r="G1" s="3"/>
      <c r="H1" s="3"/>
      <c r="I1" s="3"/>
    </row>
    <row r="2" ht="6.75" customHeight="1">
      <c r="A2" s="1"/>
      <c r="B2" s="4"/>
      <c r="C2" s="4"/>
      <c r="D2" s="4"/>
      <c r="E2" s="5"/>
      <c r="F2" s="6"/>
      <c r="G2" s="6"/>
      <c r="H2" s="6"/>
      <c r="I2" s="6"/>
    </row>
    <row r="3">
      <c r="A3" s="1"/>
      <c r="B3" s="4"/>
      <c r="C3" s="4"/>
      <c r="D3" s="4"/>
      <c r="E3" s="5"/>
      <c r="F3" s="6"/>
      <c r="G3" s="6"/>
      <c r="H3" s="6"/>
      <c r="I3" s="6"/>
    </row>
    <row r="4">
      <c r="A4" s="1"/>
      <c r="B4" s="4"/>
      <c r="C4" s="4"/>
      <c r="D4" s="13"/>
      <c r="E4" s="55" t="s">
        <v>1</v>
      </c>
      <c r="F4" s="43" t="s">
        <v>2</v>
      </c>
      <c r="G4" s="43" t="s">
        <v>3</v>
      </c>
      <c r="H4" s="43" t="s">
        <v>4</v>
      </c>
      <c r="I4" s="43" t="s">
        <v>357</v>
      </c>
    </row>
    <row r="5">
      <c r="A5" s="7"/>
      <c r="B5" s="8"/>
      <c r="C5" s="9" t="s">
        <v>358</v>
      </c>
      <c r="D5" s="9"/>
      <c r="E5" s="107">
        <v>45291.0</v>
      </c>
      <c r="F5" s="42"/>
      <c r="G5" s="42"/>
      <c r="H5" s="42"/>
      <c r="I5" s="42"/>
    </row>
    <row r="6">
      <c r="A6" s="1"/>
      <c r="B6" s="4"/>
      <c r="C6" s="4"/>
      <c r="D6" s="4"/>
      <c r="E6" s="108" t="s">
        <v>359</v>
      </c>
      <c r="F6" s="109"/>
      <c r="G6" s="43" t="s">
        <v>360</v>
      </c>
      <c r="H6" s="6" t="s">
        <v>361</v>
      </c>
      <c r="I6" s="6" t="s">
        <v>362</v>
      </c>
    </row>
    <row r="7" ht="57.0" customHeight="1">
      <c r="A7" s="10"/>
      <c r="B7" s="11"/>
      <c r="C7" s="12" t="s">
        <v>6</v>
      </c>
      <c r="D7" s="13"/>
      <c r="E7" s="43" t="s">
        <v>363</v>
      </c>
      <c r="F7" s="6" t="s">
        <v>364</v>
      </c>
    </row>
    <row r="8">
      <c r="A8" s="17"/>
      <c r="B8" s="17"/>
      <c r="C8" s="21" t="s">
        <v>8</v>
      </c>
      <c r="D8" s="22" t="s">
        <v>365</v>
      </c>
      <c r="E8" s="79">
        <f>86058594.94+7499069108.98</f>
        <v>7585127704</v>
      </c>
      <c r="F8" s="79">
        <f>47137046728.04+40462171203.68</f>
        <v>87599217932</v>
      </c>
      <c r="G8" s="79">
        <f>-17138082402.89</f>
        <v>-17138082403</v>
      </c>
      <c r="H8" s="79">
        <f>G8</f>
        <v>-17138082403</v>
      </c>
      <c r="I8" s="79">
        <f t="shared" ref="I8:I12" si="1">sum(E8:G8)</f>
        <v>78046263233</v>
      </c>
    </row>
    <row r="9">
      <c r="A9" s="17"/>
      <c r="B9" s="17"/>
      <c r="C9" s="21" t="s">
        <v>10</v>
      </c>
      <c r="D9" s="22" t="s">
        <v>366</v>
      </c>
      <c r="E9" s="110"/>
      <c r="F9" s="110">
        <f>sum(F10:F11)</f>
        <v>38948141081</v>
      </c>
      <c r="G9" s="79"/>
      <c r="H9" s="79"/>
      <c r="I9" s="111">
        <f t="shared" si="1"/>
        <v>38948141081</v>
      </c>
    </row>
    <row r="10">
      <c r="A10" s="17"/>
      <c r="B10" s="17"/>
      <c r="C10" s="21" t="s">
        <v>367</v>
      </c>
      <c r="D10" s="22" t="s">
        <v>368</v>
      </c>
      <c r="E10" s="112"/>
      <c r="F10" s="113">
        <v>3.63119399058E10</v>
      </c>
      <c r="G10" s="79"/>
      <c r="H10" s="79"/>
      <c r="I10" s="111">
        <f t="shared" si="1"/>
        <v>36311939906</v>
      </c>
    </row>
    <row r="11">
      <c r="A11" s="17"/>
      <c r="B11" s="17"/>
      <c r="C11" s="21" t="s">
        <v>369</v>
      </c>
      <c r="D11" s="22" t="s">
        <v>370</v>
      </c>
      <c r="E11" s="113"/>
      <c r="F11" s="113">
        <v>2.63620117555E9</v>
      </c>
      <c r="G11" s="79"/>
      <c r="H11" s="79"/>
      <c r="I11" s="111">
        <f t="shared" si="1"/>
        <v>2636201176</v>
      </c>
    </row>
    <row r="12">
      <c r="A12" s="17"/>
      <c r="B12" s="17"/>
      <c r="C12" s="21" t="s">
        <v>12</v>
      </c>
      <c r="D12" s="22" t="s">
        <v>371</v>
      </c>
      <c r="E12" s="79"/>
      <c r="F12" s="79">
        <v>7.546248874529E10</v>
      </c>
      <c r="G12" s="79">
        <v>-1.0717829153E8</v>
      </c>
      <c r="H12" s="79"/>
      <c r="I12" s="79">
        <f t="shared" si="1"/>
        <v>75355310454</v>
      </c>
    </row>
    <row r="13">
      <c r="A13" s="17"/>
      <c r="B13" s="17"/>
      <c r="C13" s="114" t="s">
        <v>20</v>
      </c>
      <c r="D13" s="115" t="s">
        <v>372</v>
      </c>
      <c r="E13" s="116">
        <f t="shared" ref="E13:G13" si="2">E8+E9+E12</f>
        <v>7585127704</v>
      </c>
      <c r="F13" s="116">
        <f t="shared" si="2"/>
        <v>202009847758</v>
      </c>
      <c r="G13" s="116">
        <f t="shared" si="2"/>
        <v>-17245260694</v>
      </c>
      <c r="H13" s="116"/>
      <c r="I13" s="116">
        <f>I8+I9+I12</f>
        <v>192349714768</v>
      </c>
    </row>
    <row r="14">
      <c r="A14" s="32"/>
      <c r="B14" s="32"/>
      <c r="C14" s="32"/>
      <c r="D14" s="32"/>
      <c r="E14" s="22"/>
      <c r="F14" s="22"/>
      <c r="G14" s="28"/>
      <c r="H14" s="22"/>
      <c r="I14" s="22"/>
    </row>
    <row r="15">
      <c r="A15" s="32"/>
      <c r="B15" s="32"/>
      <c r="C15" s="33" t="s">
        <v>60</v>
      </c>
      <c r="D15" s="32"/>
      <c r="E15" s="117"/>
      <c r="F15" s="33"/>
      <c r="G15" s="118"/>
      <c r="H15" s="117"/>
    </row>
    <row r="16">
      <c r="A16" s="32"/>
      <c r="B16" s="32"/>
      <c r="C16" s="95" t="s">
        <v>373</v>
      </c>
      <c r="D16" s="36"/>
      <c r="E16" s="36"/>
      <c r="F16" s="36"/>
      <c r="G16" s="36"/>
      <c r="H16" s="36"/>
      <c r="I16" s="36"/>
    </row>
    <row r="17">
      <c r="A17" s="32"/>
      <c r="B17" s="32"/>
      <c r="C17" s="32"/>
      <c r="D17" s="32"/>
      <c r="E17" s="49"/>
      <c r="F17" s="50"/>
      <c r="G17" s="32"/>
      <c r="H17" s="32"/>
      <c r="I17" s="32"/>
    </row>
    <row r="18">
      <c r="A18" s="32"/>
      <c r="B18" s="32"/>
      <c r="C18" s="32"/>
      <c r="D18" s="32"/>
      <c r="E18" s="49"/>
      <c r="F18" s="50"/>
      <c r="G18" s="32"/>
      <c r="H18" s="32"/>
      <c r="I18" s="32"/>
    </row>
    <row r="19">
      <c r="A19" s="32"/>
      <c r="B19" s="32"/>
      <c r="C19" s="32"/>
      <c r="D19" s="32"/>
      <c r="E19" s="49"/>
      <c r="F19" s="50"/>
      <c r="G19" s="32"/>
      <c r="H19" s="32"/>
      <c r="I19" s="32"/>
    </row>
  </sheetData>
  <mergeCells count="6">
    <mergeCell ref="E5:I5"/>
    <mergeCell ref="E6:F6"/>
    <mergeCell ref="G6:G7"/>
    <mergeCell ref="H6:H7"/>
    <mergeCell ref="I6:I7"/>
    <mergeCell ref="C16:I1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2.75"/>
    <col customWidth="1" min="4" max="4" width="83.5"/>
    <col customWidth="1" min="5" max="5" width="14.0"/>
    <col customWidth="1" hidden="1" min="6" max="8" width="14.0"/>
  </cols>
  <sheetData>
    <row r="1">
      <c r="A1" s="1"/>
      <c r="B1" s="1"/>
      <c r="C1" s="1"/>
      <c r="D1" s="1"/>
      <c r="E1" s="2"/>
      <c r="F1" s="2"/>
      <c r="G1" s="2"/>
      <c r="H1" s="2"/>
    </row>
    <row r="2" ht="6.75" customHeight="1">
      <c r="A2" s="1"/>
      <c r="B2" s="4"/>
      <c r="C2" s="4"/>
      <c r="D2" s="4"/>
      <c r="E2" s="5"/>
      <c r="F2" s="5"/>
      <c r="G2" s="5"/>
      <c r="H2" s="5"/>
    </row>
    <row r="3">
      <c r="A3" s="1"/>
      <c r="B3" s="4"/>
      <c r="C3" s="4"/>
      <c r="D3" s="4"/>
      <c r="E3" s="5"/>
      <c r="F3" s="5"/>
      <c r="G3" s="5"/>
      <c r="H3" s="5"/>
    </row>
    <row r="4">
      <c r="A4" s="1"/>
      <c r="B4" s="4"/>
      <c r="C4" s="4"/>
      <c r="D4" s="4"/>
      <c r="E4" s="5"/>
      <c r="F4" s="5"/>
      <c r="G4" s="5"/>
      <c r="H4" s="5"/>
    </row>
    <row r="5">
      <c r="A5" s="32"/>
      <c r="B5" s="8"/>
      <c r="C5" s="119" t="s">
        <v>374</v>
      </c>
      <c r="D5" s="4"/>
      <c r="E5" s="120"/>
      <c r="F5" s="120"/>
      <c r="G5" s="120"/>
      <c r="H5" s="120"/>
    </row>
    <row r="6">
      <c r="A6" s="32"/>
      <c r="B6" s="4"/>
      <c r="C6" s="4"/>
      <c r="D6" s="4"/>
      <c r="E6" s="5" t="s">
        <v>1</v>
      </c>
      <c r="F6" s="5"/>
      <c r="G6" s="5"/>
      <c r="H6" s="5"/>
    </row>
    <row r="7">
      <c r="A7" s="32"/>
      <c r="B7" s="11"/>
      <c r="C7" s="12" t="s">
        <v>6</v>
      </c>
      <c r="D7" s="13"/>
      <c r="E7" s="44">
        <v>45291.0</v>
      </c>
      <c r="F7" s="44"/>
      <c r="G7" s="44"/>
      <c r="H7" s="44"/>
    </row>
    <row r="8">
      <c r="A8" s="32"/>
      <c r="B8" s="32"/>
      <c r="C8" s="21" t="s">
        <v>8</v>
      </c>
      <c r="D8" s="22" t="s">
        <v>375</v>
      </c>
      <c r="E8" s="79">
        <v>5.91235958367E9</v>
      </c>
      <c r="F8" s="79"/>
      <c r="G8" s="79"/>
      <c r="H8" s="79"/>
    </row>
    <row r="9">
      <c r="A9" s="32"/>
      <c r="B9" s="32"/>
      <c r="C9" s="21" t="s">
        <v>10</v>
      </c>
      <c r="D9" s="22" t="s">
        <v>376</v>
      </c>
      <c r="E9" s="79">
        <v>5.37237630622E9</v>
      </c>
      <c r="F9" s="79"/>
      <c r="G9" s="79"/>
      <c r="H9" s="79"/>
    </row>
    <row r="10">
      <c r="A10" s="32"/>
      <c r="B10" s="32"/>
      <c r="C10" s="21" t="s">
        <v>12</v>
      </c>
      <c r="D10" s="22" t="s">
        <v>377</v>
      </c>
      <c r="E10" s="79">
        <v>-2.263120977E8</v>
      </c>
      <c r="F10" s="79"/>
      <c r="G10" s="79"/>
      <c r="H10" s="79"/>
    </row>
    <row r="11">
      <c r="A11" s="32"/>
      <c r="B11" s="32"/>
      <c r="C11" s="21" t="s">
        <v>20</v>
      </c>
      <c r="D11" s="22" t="s">
        <v>378</v>
      </c>
      <c r="E11" s="79">
        <v>-2.95298762367E9</v>
      </c>
      <c r="F11" s="79"/>
      <c r="G11" s="79"/>
      <c r="H11" s="79"/>
    </row>
    <row r="12">
      <c r="A12" s="32"/>
      <c r="B12" s="32"/>
      <c r="C12" s="21" t="s">
        <v>23</v>
      </c>
      <c r="D12" s="22" t="s">
        <v>379</v>
      </c>
      <c r="E12" s="79">
        <v>-5.2030846381E8</v>
      </c>
      <c r="F12" s="79"/>
      <c r="G12" s="79"/>
      <c r="H12" s="79"/>
    </row>
    <row r="13">
      <c r="A13" s="32"/>
      <c r="B13" s="32"/>
      <c r="C13" s="115" t="s">
        <v>25</v>
      </c>
      <c r="D13" s="115" t="s">
        <v>380</v>
      </c>
      <c r="E13" s="121">
        <v>7.585127704E9</v>
      </c>
      <c r="F13" s="122"/>
      <c r="G13" s="122"/>
      <c r="H13" s="122"/>
    </row>
    <row r="14">
      <c r="A14" s="32"/>
      <c r="B14" s="32"/>
      <c r="C14" s="32"/>
      <c r="D14" s="32"/>
      <c r="E14" s="49"/>
      <c r="F14" s="49"/>
      <c r="G14" s="49"/>
      <c r="H14" s="49"/>
    </row>
    <row r="15">
      <c r="A15" s="32"/>
      <c r="B15" s="32"/>
      <c r="C15" s="33" t="s">
        <v>60</v>
      </c>
      <c r="D15" s="32"/>
    </row>
    <row r="16">
      <c r="A16" s="32"/>
      <c r="B16" s="32"/>
      <c r="C16" s="95" t="s">
        <v>319</v>
      </c>
      <c r="D16" s="36"/>
      <c r="E16" s="36"/>
      <c r="F16" s="95"/>
      <c r="G16" s="95"/>
      <c r="H16" s="95"/>
    </row>
    <row r="17">
      <c r="A17" s="32"/>
      <c r="B17" s="32"/>
      <c r="C17" s="39"/>
      <c r="D17" s="39"/>
      <c r="E17" s="123"/>
      <c r="F17" s="123"/>
      <c r="G17" s="123"/>
      <c r="H17" s="123"/>
    </row>
    <row r="18">
      <c r="A18" s="32"/>
      <c r="B18" s="32"/>
      <c r="C18" s="39"/>
      <c r="D18" s="39"/>
      <c r="E18" s="123"/>
      <c r="F18" s="123"/>
      <c r="G18" s="123"/>
      <c r="H18" s="123"/>
    </row>
    <row r="19">
      <c r="A19" s="32"/>
      <c r="B19" s="32"/>
      <c r="C19" s="39"/>
      <c r="D19" s="39"/>
      <c r="E19" s="123"/>
      <c r="F19" s="123"/>
      <c r="G19" s="123"/>
      <c r="H19" s="123"/>
    </row>
  </sheetData>
  <mergeCells count="1">
    <mergeCell ref="C16:E1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2.75"/>
    <col customWidth="1" min="4" max="4" width="75.0"/>
    <col customWidth="1" min="5" max="5" width="18.75"/>
    <col customWidth="1" hidden="1" min="6" max="8" width="14.0"/>
  </cols>
  <sheetData>
    <row r="1">
      <c r="A1" s="1"/>
      <c r="B1" s="1"/>
      <c r="C1" s="1"/>
      <c r="D1" s="1"/>
      <c r="E1" s="2"/>
      <c r="F1" s="2"/>
      <c r="G1" s="2"/>
      <c r="H1" s="2"/>
    </row>
    <row r="2" ht="6.75" customHeight="1">
      <c r="A2" s="1"/>
      <c r="B2" s="4"/>
      <c r="C2" s="4"/>
      <c r="D2" s="4"/>
      <c r="E2" s="5"/>
      <c r="F2" s="5"/>
      <c r="G2" s="5"/>
      <c r="H2" s="5"/>
    </row>
    <row r="3">
      <c r="A3" s="1"/>
      <c r="B3" s="4"/>
      <c r="C3" s="4"/>
      <c r="D3" s="4"/>
      <c r="E3" s="5"/>
      <c r="F3" s="5"/>
      <c r="G3" s="5"/>
      <c r="H3" s="5"/>
    </row>
    <row r="4">
      <c r="A4" s="1"/>
      <c r="B4" s="4"/>
      <c r="C4" s="4"/>
      <c r="D4" s="4"/>
      <c r="E4" s="5"/>
      <c r="F4" s="5"/>
      <c r="G4" s="5"/>
      <c r="H4" s="5"/>
    </row>
    <row r="5">
      <c r="A5" s="32"/>
      <c r="B5" s="8"/>
      <c r="C5" s="9" t="s">
        <v>381</v>
      </c>
      <c r="D5" s="4"/>
      <c r="E5" s="120"/>
      <c r="F5" s="120"/>
      <c r="G5" s="120"/>
      <c r="H5" s="120"/>
    </row>
    <row r="6">
      <c r="A6" s="32"/>
      <c r="B6" s="4"/>
      <c r="C6" s="4"/>
      <c r="D6" s="4"/>
      <c r="E6" s="5"/>
      <c r="F6" s="5"/>
      <c r="G6" s="5"/>
      <c r="H6" s="5"/>
    </row>
    <row r="7">
      <c r="A7" s="32"/>
      <c r="B7" s="11"/>
      <c r="C7" s="12" t="s">
        <v>382</v>
      </c>
      <c r="D7" s="13"/>
      <c r="E7" s="124">
        <v>45291.0</v>
      </c>
      <c r="F7" s="124"/>
      <c r="G7" s="124"/>
      <c r="H7" s="124"/>
    </row>
    <row r="8">
      <c r="A8" s="32"/>
      <c r="B8" s="32"/>
      <c r="C8" s="21"/>
      <c r="D8" s="22"/>
      <c r="E8" s="79"/>
      <c r="F8" s="79"/>
      <c r="G8" s="79"/>
      <c r="H8" s="79"/>
    </row>
    <row r="9">
      <c r="A9" s="32"/>
      <c r="B9" s="32"/>
      <c r="C9" s="21"/>
      <c r="D9" s="22"/>
      <c r="E9" s="79"/>
      <c r="F9" s="79"/>
      <c r="G9" s="79"/>
      <c r="H9" s="79"/>
    </row>
    <row r="10">
      <c r="A10" s="32"/>
      <c r="B10" s="32"/>
      <c r="C10" s="125" t="s">
        <v>383</v>
      </c>
      <c r="E10" s="126"/>
      <c r="F10" s="126"/>
      <c r="G10" s="126"/>
      <c r="H10" s="126"/>
    </row>
    <row r="11">
      <c r="A11" s="32"/>
      <c r="B11" s="32"/>
      <c r="C11" s="127"/>
      <c r="D11" s="128" t="s">
        <v>384</v>
      </c>
      <c r="E11" s="129">
        <v>1.502985733027E10</v>
      </c>
      <c r="F11" s="130"/>
      <c r="G11" s="130"/>
      <c r="H11" s="130"/>
    </row>
    <row r="12">
      <c r="A12" s="32"/>
      <c r="B12" s="32"/>
      <c r="C12" s="131"/>
      <c r="D12" s="132" t="s">
        <v>385</v>
      </c>
      <c r="E12" s="133">
        <v>2.998873407376E10</v>
      </c>
      <c r="F12" s="133"/>
      <c r="G12" s="133"/>
      <c r="H12" s="133"/>
    </row>
    <row r="13">
      <c r="A13" s="32"/>
      <c r="B13" s="32"/>
      <c r="C13" s="134"/>
      <c r="D13" s="132" t="s">
        <v>386</v>
      </c>
      <c r="E13" s="133">
        <v>7.15708309793E9</v>
      </c>
      <c r="F13" s="133"/>
      <c r="G13" s="133"/>
      <c r="H13" s="133"/>
    </row>
    <row r="14">
      <c r="A14" s="32"/>
      <c r="B14" s="32"/>
      <c r="C14" s="134"/>
      <c r="D14" s="132" t="s">
        <v>387</v>
      </c>
      <c r="E14" s="133">
        <f>76523340926.01+2636201175.55</f>
        <v>79159542102</v>
      </c>
      <c r="F14" s="133"/>
      <c r="G14" s="133"/>
      <c r="H14" s="133"/>
    </row>
    <row r="15">
      <c r="A15" s="32"/>
      <c r="B15" s="32"/>
      <c r="C15" s="134"/>
      <c r="D15" s="132" t="s">
        <v>388</v>
      </c>
      <c r="E15" s="133">
        <v>2.470255825886E10</v>
      </c>
      <c r="F15" s="133"/>
      <c r="G15" s="133"/>
      <c r="H15" s="133"/>
    </row>
    <row r="16">
      <c r="A16" s="32"/>
      <c r="B16" s="32"/>
      <c r="C16" s="134"/>
      <c r="D16" s="132" t="s">
        <v>389</v>
      </c>
      <c r="E16" s="133">
        <v>3.63119399058E10</v>
      </c>
      <c r="F16" s="133"/>
      <c r="G16" s="133"/>
      <c r="H16" s="133"/>
    </row>
    <row r="17">
      <c r="A17" s="32"/>
      <c r="B17" s="32"/>
      <c r="C17" s="134"/>
      <c r="D17" s="132"/>
      <c r="E17" s="133"/>
      <c r="F17" s="133"/>
      <c r="G17" s="133"/>
      <c r="H17" s="133"/>
    </row>
    <row r="18">
      <c r="A18" s="32"/>
      <c r="B18" s="32"/>
      <c r="C18" s="134"/>
      <c r="D18" s="135" t="s">
        <v>390</v>
      </c>
      <c r="E18" s="136">
        <f>SUBTOTAL(9,E11:E16)</f>
        <v>192349714768</v>
      </c>
      <c r="F18" s="136"/>
      <c r="G18" s="136"/>
      <c r="H18" s="136"/>
    </row>
    <row r="19">
      <c r="A19" s="32"/>
      <c r="B19" s="32"/>
      <c r="C19" s="137"/>
      <c r="D19" s="138"/>
      <c r="E19" s="139"/>
      <c r="F19" s="140"/>
      <c r="G19" s="140"/>
      <c r="H19" s="140"/>
    </row>
    <row r="20">
      <c r="A20" s="32"/>
      <c r="B20" s="32"/>
      <c r="C20" s="125" t="s">
        <v>391</v>
      </c>
      <c r="E20" s="130"/>
      <c r="F20" s="130"/>
      <c r="G20" s="130"/>
      <c r="H20" s="130"/>
    </row>
    <row r="21">
      <c r="A21" s="32"/>
      <c r="B21" s="32"/>
      <c r="C21" s="127"/>
      <c r="D21" s="127" t="s">
        <v>392</v>
      </c>
      <c r="E21" s="141">
        <v>1.4271697121841E11</v>
      </c>
      <c r="F21" s="142"/>
      <c r="G21" s="142"/>
      <c r="H21" s="142"/>
    </row>
    <row r="22">
      <c r="A22" s="32"/>
      <c r="B22" s="32"/>
      <c r="C22" s="131"/>
      <c r="D22" s="135" t="s">
        <v>393</v>
      </c>
      <c r="E22" s="143">
        <v>0.0</v>
      </c>
      <c r="F22" s="143"/>
      <c r="G22" s="143"/>
      <c r="H22" s="143"/>
    </row>
    <row r="23">
      <c r="A23" s="32"/>
      <c r="B23" s="32"/>
      <c r="C23" s="134"/>
      <c r="D23" s="144" t="s">
        <v>394</v>
      </c>
      <c r="E23" s="133">
        <v>1.5007152043E8</v>
      </c>
      <c r="F23" s="133"/>
      <c r="G23" s="133"/>
      <c r="H23" s="133"/>
    </row>
    <row r="24">
      <c r="A24" s="32"/>
      <c r="B24" s="32"/>
      <c r="C24" s="134"/>
      <c r="D24" s="144" t="s">
        <v>395</v>
      </c>
      <c r="E24" s="133">
        <v>6.2897601826E8</v>
      </c>
      <c r="F24" s="133"/>
      <c r="G24" s="133"/>
      <c r="H24" s="133"/>
    </row>
    <row r="25">
      <c r="A25" s="32"/>
      <c r="B25" s="32"/>
      <c r="C25" s="134"/>
      <c r="D25" s="144" t="s">
        <v>396</v>
      </c>
      <c r="E25" s="133">
        <v>9.90555492889E9</v>
      </c>
      <c r="F25" s="133"/>
      <c r="G25" s="133"/>
      <c r="H25" s="133"/>
    </row>
    <row r="26">
      <c r="C26" s="145"/>
      <c r="D26" s="146" t="s">
        <v>397</v>
      </c>
      <c r="E26" s="133">
        <v>3.63119399058E10</v>
      </c>
      <c r="F26" s="133"/>
      <c r="G26" s="133"/>
      <c r="H26" s="133"/>
    </row>
    <row r="27">
      <c r="A27" s="32"/>
      <c r="B27" s="32"/>
      <c r="C27" s="134"/>
      <c r="D27" s="132" t="s">
        <v>398</v>
      </c>
      <c r="E27" s="133">
        <v>2.63620117555E9</v>
      </c>
    </row>
    <row r="28">
      <c r="A28" s="32"/>
      <c r="B28" s="32"/>
      <c r="C28" s="134"/>
      <c r="D28" s="135"/>
    </row>
    <row r="29">
      <c r="A29" s="32"/>
      <c r="B29" s="32"/>
      <c r="C29" s="134"/>
      <c r="D29" s="135" t="s">
        <v>390</v>
      </c>
      <c r="E29" s="136">
        <f>SUBTOTAL(9,E21:E27)</f>
        <v>192349714767</v>
      </c>
      <c r="F29" s="136"/>
      <c r="G29" s="136"/>
      <c r="H29" s="136"/>
    </row>
    <row r="30">
      <c r="A30" s="32"/>
      <c r="B30" s="32"/>
      <c r="C30" s="137"/>
      <c r="D30" s="138"/>
      <c r="E30" s="147"/>
      <c r="F30" s="140"/>
      <c r="G30" s="140"/>
      <c r="H30" s="140"/>
    </row>
    <row r="31">
      <c r="A31" s="32"/>
      <c r="B31" s="32"/>
      <c r="C31" s="125" t="s">
        <v>399</v>
      </c>
      <c r="E31" s="130"/>
      <c r="F31" s="130"/>
      <c r="G31" s="130"/>
      <c r="H31" s="130"/>
    </row>
    <row r="32">
      <c r="A32" s="32"/>
      <c r="B32" s="32"/>
      <c r="C32" s="127"/>
      <c r="D32" s="128" t="s">
        <v>400</v>
      </c>
      <c r="E32" s="129">
        <v>6.963182335409E10</v>
      </c>
      <c r="F32" s="130"/>
      <c r="G32" s="130"/>
      <c r="H32" s="130"/>
    </row>
    <row r="33">
      <c r="A33" s="32"/>
      <c r="B33" s="32"/>
      <c r="C33" s="94"/>
      <c r="D33" s="132" t="s">
        <v>401</v>
      </c>
      <c r="E33" s="148">
        <f>6327609290.75+2044636062.9+111959448.6</f>
        <v>8484204802</v>
      </c>
      <c r="F33" s="148"/>
      <c r="G33" s="148"/>
      <c r="H33" s="148"/>
    </row>
    <row r="34">
      <c r="A34" s="32"/>
      <c r="B34" s="32"/>
      <c r="C34" s="94"/>
      <c r="D34" s="132" t="s">
        <v>402</v>
      </c>
      <c r="E34" s="148">
        <f>2086830588.65+31302286221.47+2771121525+80995754+2636201175.55</f>
        <v>38877435265</v>
      </c>
      <c r="F34" s="148"/>
      <c r="G34" s="148"/>
      <c r="H34" s="148"/>
    </row>
    <row r="35">
      <c r="A35" s="32"/>
      <c r="B35" s="32"/>
      <c r="C35" s="94"/>
      <c r="D35" s="132" t="s">
        <v>403</v>
      </c>
      <c r="E35" s="148">
        <f>20872713.49/1000</f>
        <v>20872.71349</v>
      </c>
      <c r="F35" s="148"/>
      <c r="G35" s="148"/>
      <c r="H35" s="148"/>
    </row>
    <row r="36">
      <c r="A36" s="32"/>
      <c r="B36" s="32"/>
      <c r="C36" s="94"/>
      <c r="D36" s="132"/>
      <c r="E36" s="148"/>
      <c r="F36" s="148"/>
      <c r="G36" s="148"/>
      <c r="H36" s="148"/>
    </row>
    <row r="37">
      <c r="A37" s="32"/>
      <c r="B37" s="32"/>
      <c r="C37" s="94"/>
      <c r="D37" s="135" t="s">
        <v>390</v>
      </c>
      <c r="E37" s="149">
        <f>SUBTOTAL(9,E32:E34)</f>
        <v>116993463421</v>
      </c>
      <c r="F37" s="149"/>
      <c r="G37" s="149"/>
      <c r="H37" s="149"/>
    </row>
    <row r="38">
      <c r="A38" s="32"/>
      <c r="B38" s="32"/>
      <c r="C38" s="94"/>
      <c r="D38" s="144"/>
      <c r="E38" s="150"/>
      <c r="F38" s="150"/>
      <c r="G38" s="150"/>
      <c r="H38" s="150"/>
    </row>
    <row r="39">
      <c r="A39" s="32"/>
      <c r="B39" s="32"/>
      <c r="C39" s="33" t="s">
        <v>60</v>
      </c>
      <c r="D39" s="32"/>
    </row>
    <row r="40">
      <c r="A40" s="32"/>
      <c r="B40" s="32"/>
      <c r="C40" s="95" t="s">
        <v>404</v>
      </c>
      <c r="D40" s="36"/>
      <c r="E40" s="36"/>
      <c r="F40" s="95"/>
      <c r="G40" s="95"/>
      <c r="H40" s="95"/>
    </row>
    <row r="41">
      <c r="A41" s="32"/>
      <c r="B41" s="32"/>
      <c r="C41" s="39"/>
      <c r="D41" s="39"/>
      <c r="E41" s="123"/>
      <c r="F41" s="123"/>
      <c r="G41" s="123"/>
      <c r="H41" s="123"/>
    </row>
  </sheetData>
  <mergeCells count="4">
    <mergeCell ref="C10:D10"/>
    <mergeCell ref="C20:D20"/>
    <mergeCell ref="C31:D31"/>
    <mergeCell ref="C40:E40"/>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2.75"/>
    <col customWidth="1" min="4" max="4" width="75.0"/>
    <col customWidth="1" min="5" max="7" width="21.0"/>
  </cols>
  <sheetData>
    <row r="1">
      <c r="A1" s="1"/>
      <c r="B1" s="1"/>
      <c r="C1" s="1"/>
      <c r="D1" s="1"/>
      <c r="E1" s="2"/>
      <c r="F1" s="2"/>
      <c r="G1" s="2"/>
    </row>
    <row r="2" ht="6.75" customHeight="1">
      <c r="A2" s="1"/>
      <c r="B2" s="4"/>
      <c r="C2" s="4"/>
      <c r="D2" s="4"/>
      <c r="E2" s="5"/>
      <c r="F2" s="5"/>
      <c r="G2" s="5"/>
    </row>
    <row r="3">
      <c r="A3" s="1"/>
      <c r="B3" s="4"/>
      <c r="C3" s="4"/>
      <c r="D3" s="4"/>
      <c r="E3" s="5"/>
      <c r="F3" s="5"/>
      <c r="G3" s="5"/>
    </row>
    <row r="4">
      <c r="A4" s="1"/>
      <c r="B4" s="4"/>
      <c r="C4" s="4"/>
      <c r="D4" s="4"/>
      <c r="E4" s="5"/>
      <c r="F4" s="5"/>
      <c r="G4" s="5"/>
    </row>
    <row r="5">
      <c r="A5" s="32"/>
      <c r="B5" s="8"/>
      <c r="C5" s="9" t="s">
        <v>405</v>
      </c>
      <c r="D5" s="4"/>
      <c r="E5" s="120"/>
      <c r="F5" s="120"/>
      <c r="G5" s="120"/>
    </row>
    <row r="6">
      <c r="A6" s="32"/>
      <c r="B6" s="4"/>
      <c r="C6" s="4"/>
      <c r="D6" s="4"/>
      <c r="E6" s="5"/>
      <c r="F6" s="5"/>
      <c r="G6" s="5"/>
    </row>
    <row r="7">
      <c r="A7" s="32"/>
      <c r="B7" s="11"/>
      <c r="C7" s="12" t="s">
        <v>382</v>
      </c>
      <c r="D7" s="13"/>
      <c r="E7" s="151"/>
      <c r="F7" s="151"/>
      <c r="G7" s="124">
        <v>45291.0</v>
      </c>
    </row>
    <row r="8">
      <c r="A8" s="32"/>
      <c r="B8" s="32"/>
      <c r="C8" s="21"/>
      <c r="D8" s="22"/>
      <c r="E8" s="79"/>
      <c r="F8" s="79"/>
      <c r="G8" s="79"/>
    </row>
    <row r="9">
      <c r="A9" s="32"/>
      <c r="B9" s="32"/>
      <c r="C9" s="21"/>
      <c r="D9" s="22"/>
      <c r="E9" s="152" t="s">
        <v>406</v>
      </c>
      <c r="F9" s="152" t="s">
        <v>407</v>
      </c>
      <c r="G9" s="152" t="s">
        <v>408</v>
      </c>
    </row>
    <row r="10">
      <c r="A10" s="32"/>
      <c r="B10" s="32"/>
      <c r="C10" s="22" t="s">
        <v>383</v>
      </c>
      <c r="E10" s="79"/>
      <c r="F10" s="79"/>
      <c r="G10" s="79"/>
    </row>
    <row r="11">
      <c r="A11" s="32"/>
      <c r="B11" s="32"/>
      <c r="C11" s="115"/>
      <c r="D11" s="128" t="s">
        <v>384</v>
      </c>
      <c r="E11" s="153">
        <v>7.2458630154E8</v>
      </c>
      <c r="F11" s="153">
        <v>5.9331563171E8</v>
      </c>
      <c r="G11" s="153">
        <v>2.943835562E8</v>
      </c>
    </row>
    <row r="12">
      <c r="A12" s="32"/>
      <c r="B12" s="32"/>
      <c r="C12" s="32"/>
      <c r="D12" s="132" t="s">
        <v>385</v>
      </c>
      <c r="E12" s="154">
        <v>1.77676902041E9</v>
      </c>
      <c r="F12" s="154">
        <v>1.46453419549E9</v>
      </c>
      <c r="G12" s="154">
        <v>7.6151436792E8</v>
      </c>
    </row>
    <row r="13">
      <c r="A13" s="32"/>
      <c r="B13" s="32"/>
      <c r="C13" s="33"/>
      <c r="D13" s="132" t="s">
        <v>386</v>
      </c>
      <c r="E13" s="155">
        <v>4.9234700417E8</v>
      </c>
      <c r="F13" s="155">
        <v>3.9967750987E8</v>
      </c>
      <c r="G13" s="155">
        <v>1.7506597519E8</v>
      </c>
    </row>
    <row r="14">
      <c r="A14" s="32"/>
      <c r="B14" s="32"/>
      <c r="C14" s="33"/>
      <c r="D14" s="132" t="s">
        <v>387</v>
      </c>
      <c r="E14" s="155">
        <v>3.49423545076E9</v>
      </c>
      <c r="F14" s="155">
        <v>2.8848885654E9</v>
      </c>
      <c r="G14" s="155">
        <v>1.48887637803E9</v>
      </c>
    </row>
    <row r="15">
      <c r="A15" s="32"/>
      <c r="B15" s="32"/>
      <c r="C15" s="33"/>
      <c r="D15" s="132" t="s">
        <v>388</v>
      </c>
      <c r="E15" s="155">
        <v>1.09718992715E9</v>
      </c>
      <c r="F15" s="155">
        <v>9.0237524153E8</v>
      </c>
      <c r="G15" s="155">
        <v>4.4073770045E8</v>
      </c>
    </row>
    <row r="16">
      <c r="A16" s="32"/>
      <c r="B16" s="32"/>
      <c r="C16" s="33"/>
      <c r="D16" s="156"/>
      <c r="E16" s="157" t="s">
        <v>16</v>
      </c>
      <c r="F16" s="157" t="s">
        <v>16</v>
      </c>
      <c r="G16" s="157" t="s">
        <v>16</v>
      </c>
    </row>
    <row r="17">
      <c r="A17" s="32"/>
      <c r="B17" s="32"/>
      <c r="C17" s="33"/>
      <c r="D17" s="158" t="s">
        <v>390</v>
      </c>
      <c r="E17" s="159">
        <v>7.58512770403E9</v>
      </c>
      <c r="F17" s="159">
        <v>6.244791143E9</v>
      </c>
      <c r="G17" s="159">
        <v>3.16057797779E9</v>
      </c>
    </row>
    <row r="18">
      <c r="A18" s="32"/>
      <c r="B18" s="32"/>
      <c r="C18" s="160"/>
      <c r="D18" s="161"/>
      <c r="E18" s="162" t="s">
        <v>16</v>
      </c>
      <c r="F18" s="162" t="s">
        <v>16</v>
      </c>
      <c r="G18" s="162" t="s">
        <v>16</v>
      </c>
    </row>
    <row r="19">
      <c r="A19" s="32"/>
      <c r="B19" s="32"/>
      <c r="C19" s="22" t="s">
        <v>391</v>
      </c>
      <c r="E19" s="163" t="s">
        <v>16</v>
      </c>
      <c r="F19" s="163" t="s">
        <v>16</v>
      </c>
      <c r="G19" s="163" t="s">
        <v>16</v>
      </c>
    </row>
    <row r="20">
      <c r="A20" s="32"/>
      <c r="B20" s="32"/>
      <c r="C20" s="115"/>
      <c r="D20" s="115" t="s">
        <v>392</v>
      </c>
      <c r="E20" s="164">
        <v>7.55386626705E9</v>
      </c>
      <c r="F20" s="164">
        <v>6.21947121726E9</v>
      </c>
      <c r="G20" s="164">
        <v>3.15165442786E9</v>
      </c>
    </row>
    <row r="21">
      <c r="A21" s="32"/>
      <c r="B21" s="32"/>
      <c r="C21" s="32"/>
      <c r="D21" s="158" t="s">
        <v>393</v>
      </c>
      <c r="E21" s="165" t="s">
        <v>16</v>
      </c>
      <c r="F21" s="165" t="s">
        <v>16</v>
      </c>
      <c r="G21" s="165" t="s">
        <v>16</v>
      </c>
    </row>
    <row r="22">
      <c r="A22" s="32"/>
      <c r="B22" s="32"/>
      <c r="C22" s="33"/>
      <c r="D22" s="166" t="s">
        <v>394</v>
      </c>
      <c r="E22" s="155">
        <v>2579819.76</v>
      </c>
      <c r="F22" s="155">
        <v>2045018.43</v>
      </c>
      <c r="G22" s="155">
        <v>851399.73</v>
      </c>
    </row>
    <row r="23">
      <c r="A23" s="32"/>
      <c r="B23" s="32"/>
      <c r="C23" s="33"/>
      <c r="D23" s="166" t="s">
        <v>395</v>
      </c>
      <c r="E23" s="155">
        <v>1.177488051E7</v>
      </c>
      <c r="F23" s="155">
        <v>9574765.66</v>
      </c>
      <c r="G23" s="155">
        <v>3365328.73</v>
      </c>
    </row>
    <row r="24">
      <c r="A24" s="32"/>
      <c r="B24" s="32"/>
      <c r="C24" s="33"/>
      <c r="D24" s="166" t="s">
        <v>396</v>
      </c>
      <c r="E24" s="155">
        <v>1.690673665E7</v>
      </c>
      <c r="F24" s="155">
        <v>1.370014167E7</v>
      </c>
      <c r="G24" s="155">
        <v>4706821.47</v>
      </c>
    </row>
    <row r="25">
      <c r="A25" s="32"/>
      <c r="B25" s="32"/>
      <c r="C25" s="33"/>
      <c r="D25" s="167"/>
      <c r="E25" s="157" t="s">
        <v>16</v>
      </c>
      <c r="F25" s="157" t="s">
        <v>16</v>
      </c>
      <c r="G25" s="157" t="s">
        <v>16</v>
      </c>
    </row>
    <row r="26">
      <c r="A26" s="32"/>
      <c r="B26" s="32"/>
      <c r="C26" s="33"/>
      <c r="D26" s="158" t="s">
        <v>390</v>
      </c>
      <c r="E26" s="159">
        <v>7.58512770397E9</v>
      </c>
      <c r="F26" s="159">
        <v>6.24479114302E9</v>
      </c>
      <c r="G26" s="159">
        <v>3.16057797779E9</v>
      </c>
    </row>
    <row r="27">
      <c r="A27" s="32"/>
      <c r="B27" s="32"/>
      <c r="C27" s="160"/>
      <c r="D27" s="161"/>
      <c r="E27" s="168"/>
      <c r="F27" s="168"/>
      <c r="G27" s="168"/>
    </row>
    <row r="28">
      <c r="A28" s="32"/>
      <c r="B28" s="32"/>
      <c r="C28" s="39"/>
      <c r="D28" s="167"/>
      <c r="E28" s="123"/>
      <c r="F28" s="123"/>
      <c r="G28" s="123"/>
    </row>
    <row r="29">
      <c r="C29" s="33" t="s">
        <v>60</v>
      </c>
      <c r="D29" s="32"/>
    </row>
    <row r="30">
      <c r="C30" s="51" t="s">
        <v>319</v>
      </c>
      <c r="D30" s="36"/>
      <c r="E30" s="36"/>
      <c r="F30" s="36"/>
      <c r="G30" s="36"/>
    </row>
  </sheetData>
  <mergeCells count="3">
    <mergeCell ref="C10:D10"/>
    <mergeCell ref="C19:D19"/>
    <mergeCell ref="C30:G30"/>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2.75"/>
    <col customWidth="1" min="4" max="4" width="75.0"/>
    <col customWidth="1" min="5" max="5" width="14.0"/>
    <col customWidth="1" hidden="1" min="6" max="7" width="14.0"/>
  </cols>
  <sheetData>
    <row r="1">
      <c r="A1" s="1"/>
      <c r="B1" s="1"/>
      <c r="C1" s="1"/>
      <c r="D1" s="1"/>
      <c r="E1" s="2"/>
      <c r="F1" s="2"/>
      <c r="G1" s="2"/>
    </row>
    <row r="2" ht="6.75" customHeight="1">
      <c r="A2" s="1"/>
      <c r="B2" s="4"/>
      <c r="C2" s="4"/>
      <c r="D2" s="4"/>
      <c r="E2" s="5"/>
      <c r="F2" s="5"/>
      <c r="G2" s="5"/>
    </row>
    <row r="3">
      <c r="A3" s="1"/>
      <c r="B3" s="4"/>
      <c r="C3" s="4"/>
      <c r="D3" s="4"/>
      <c r="E3" s="5"/>
      <c r="F3" s="5"/>
      <c r="G3" s="5"/>
    </row>
    <row r="4">
      <c r="A4" s="1"/>
      <c r="B4" s="4"/>
      <c r="C4" s="4"/>
      <c r="D4" s="4"/>
      <c r="E4" s="5"/>
      <c r="F4" s="5"/>
      <c r="G4" s="5"/>
    </row>
    <row r="5">
      <c r="A5" s="32"/>
      <c r="B5" s="8"/>
      <c r="C5" s="9" t="s">
        <v>409</v>
      </c>
      <c r="D5" s="4"/>
      <c r="E5" s="120"/>
      <c r="F5" s="120"/>
      <c r="G5" s="120"/>
    </row>
    <row r="6">
      <c r="A6" s="32"/>
      <c r="B6" s="4"/>
      <c r="C6" s="4"/>
      <c r="D6" s="4"/>
      <c r="E6" s="5"/>
      <c r="F6" s="5"/>
      <c r="G6" s="5"/>
    </row>
    <row r="7">
      <c r="A7" s="32"/>
      <c r="B7" s="11"/>
      <c r="C7" s="12" t="s">
        <v>382</v>
      </c>
      <c r="D7" s="13"/>
      <c r="E7" s="124">
        <v>45291.0</v>
      </c>
      <c r="F7" s="124"/>
      <c r="G7" s="124"/>
    </row>
    <row r="8">
      <c r="A8" s="32"/>
      <c r="B8" s="32"/>
      <c r="C8" s="21"/>
      <c r="D8" s="22"/>
      <c r="E8" s="79"/>
      <c r="F8" s="79"/>
      <c r="G8" s="79"/>
    </row>
    <row r="9">
      <c r="A9" s="32"/>
      <c r="B9" s="32"/>
      <c r="C9" s="21"/>
      <c r="D9" s="22"/>
      <c r="E9" s="79"/>
      <c r="F9" s="79"/>
      <c r="G9" s="79"/>
    </row>
    <row r="10">
      <c r="A10" s="32"/>
      <c r="B10" s="32"/>
      <c r="C10" s="22" t="s">
        <v>410</v>
      </c>
      <c r="E10" s="79"/>
      <c r="F10" s="79"/>
      <c r="G10" s="79"/>
    </row>
    <row r="11">
      <c r="A11" s="32"/>
      <c r="B11" s="32"/>
      <c r="C11" s="115"/>
      <c r="D11" s="114" t="s">
        <v>411</v>
      </c>
      <c r="E11" s="153">
        <v>2.81681364801E9</v>
      </c>
      <c r="F11" s="163"/>
      <c r="G11" s="163"/>
    </row>
    <row r="12">
      <c r="A12" s="32"/>
      <c r="B12" s="32"/>
      <c r="C12" s="32"/>
      <c r="D12" s="156" t="s">
        <v>412</v>
      </c>
      <c r="E12" s="154">
        <v>2.47263505808E9</v>
      </c>
      <c r="F12" s="154"/>
      <c r="G12" s="154"/>
    </row>
    <row r="13">
      <c r="A13" s="32"/>
      <c r="B13" s="32"/>
      <c r="C13" s="33"/>
      <c r="D13" s="156" t="s">
        <v>413</v>
      </c>
      <c r="E13" s="155">
        <v>2.52662223982E9</v>
      </c>
      <c r="F13" s="155"/>
      <c r="G13" s="155"/>
    </row>
    <row r="14">
      <c r="A14" s="32"/>
      <c r="B14" s="32"/>
      <c r="C14" s="33"/>
      <c r="D14" s="156" t="s">
        <v>414</v>
      </c>
      <c r="E14" s="155">
        <v>3.7357962484E9</v>
      </c>
      <c r="F14" s="155"/>
      <c r="G14" s="155"/>
    </row>
    <row r="15">
      <c r="A15" s="32"/>
      <c r="B15" s="32"/>
      <c r="C15" s="33"/>
      <c r="D15" s="156" t="s">
        <v>415</v>
      </c>
      <c r="E15" s="155">
        <v>4.324666085E7</v>
      </c>
      <c r="F15" s="155"/>
      <c r="G15" s="155"/>
    </row>
    <row r="16">
      <c r="A16" s="32"/>
      <c r="B16" s="32"/>
      <c r="C16" s="33"/>
      <c r="D16" s="156"/>
      <c r="E16" s="169"/>
      <c r="F16" s="169"/>
      <c r="G16" s="169"/>
    </row>
    <row r="17">
      <c r="A17" s="32"/>
      <c r="B17" s="32"/>
      <c r="C17" s="33"/>
      <c r="D17" s="158" t="s">
        <v>390</v>
      </c>
      <c r="E17" s="170">
        <f>sum(E11:E15)</f>
        <v>11595113855</v>
      </c>
      <c r="F17" s="170"/>
      <c r="G17" s="170"/>
    </row>
    <row r="18">
      <c r="A18" s="32"/>
      <c r="B18" s="32"/>
      <c r="C18" s="160"/>
      <c r="D18" s="161"/>
      <c r="E18" s="168"/>
      <c r="F18" s="40"/>
      <c r="G18" s="40"/>
    </row>
    <row r="19">
      <c r="A19" s="32"/>
      <c r="B19" s="32"/>
      <c r="C19" s="33" t="s">
        <v>60</v>
      </c>
      <c r="D19" s="32"/>
    </row>
    <row r="20">
      <c r="A20" s="32"/>
      <c r="B20" s="32"/>
      <c r="C20" s="171" t="s">
        <v>373</v>
      </c>
      <c r="D20" s="36"/>
      <c r="E20" s="36"/>
      <c r="F20" s="51"/>
      <c r="G20" s="51"/>
    </row>
    <row r="21">
      <c r="A21" s="32"/>
      <c r="B21" s="32"/>
      <c r="C21" s="38"/>
      <c r="D21" s="39"/>
      <c r="E21" s="40"/>
      <c r="F21" s="40"/>
      <c r="G21" s="40"/>
    </row>
  </sheetData>
  <mergeCells count="2">
    <mergeCell ref="C10:D10"/>
    <mergeCell ref="C20:E20"/>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2.75"/>
    <col customWidth="1" min="4" max="4" width="75.0"/>
    <col customWidth="1" min="5" max="5" width="14.0"/>
  </cols>
  <sheetData>
    <row r="1">
      <c r="A1" s="1"/>
      <c r="B1" s="1"/>
      <c r="C1" s="1"/>
      <c r="D1" s="1"/>
      <c r="E1" s="2"/>
    </row>
    <row r="2" ht="6.75" customHeight="1">
      <c r="A2" s="1"/>
      <c r="B2" s="4"/>
      <c r="C2" s="4"/>
      <c r="D2" s="4"/>
      <c r="E2" s="5"/>
    </row>
    <row r="3">
      <c r="A3" s="1"/>
      <c r="B3" s="4"/>
      <c r="C3" s="4"/>
      <c r="D3" s="4"/>
      <c r="E3" s="5"/>
    </row>
    <row r="4">
      <c r="A4" s="1"/>
      <c r="B4" s="4"/>
      <c r="C4" s="4"/>
      <c r="D4" s="4"/>
      <c r="E4" s="5"/>
    </row>
    <row r="5">
      <c r="A5" s="32"/>
      <c r="B5" s="8"/>
      <c r="C5" s="9" t="s">
        <v>416</v>
      </c>
      <c r="D5" s="4"/>
      <c r="E5" s="120"/>
    </row>
    <row r="6">
      <c r="A6" s="32"/>
      <c r="B6" s="4"/>
      <c r="C6" s="4"/>
      <c r="D6" s="4"/>
      <c r="E6" s="5"/>
    </row>
    <row r="7">
      <c r="A7" s="32"/>
      <c r="B7" s="11"/>
      <c r="C7" s="12" t="s">
        <v>382</v>
      </c>
      <c r="D7" s="13"/>
      <c r="E7" s="124">
        <v>45291.0</v>
      </c>
    </row>
    <row r="8">
      <c r="A8" s="32"/>
      <c r="B8" s="32"/>
      <c r="C8" s="21"/>
      <c r="D8" s="22"/>
      <c r="E8" s="79"/>
    </row>
    <row r="9">
      <c r="A9" s="32"/>
      <c r="B9" s="32"/>
      <c r="C9" s="21"/>
      <c r="D9" s="22"/>
      <c r="E9" s="79"/>
    </row>
    <row r="10">
      <c r="A10" s="32"/>
      <c r="B10" s="32"/>
      <c r="C10" s="22" t="s">
        <v>417</v>
      </c>
      <c r="E10" s="172"/>
    </row>
    <row r="11">
      <c r="A11" s="32"/>
      <c r="B11" s="32"/>
      <c r="C11" s="115"/>
      <c r="D11" s="114" t="s">
        <v>406</v>
      </c>
      <c r="E11" s="173">
        <v>1611152.0</v>
      </c>
    </row>
    <row r="12">
      <c r="A12" s="32"/>
      <c r="B12" s="32"/>
      <c r="C12" s="32"/>
      <c r="D12" s="156" t="s">
        <v>418</v>
      </c>
      <c r="E12" s="174">
        <v>109557.0</v>
      </c>
    </row>
    <row r="13">
      <c r="A13" s="32"/>
      <c r="B13" s="32"/>
      <c r="C13" s="33"/>
      <c r="D13" s="158" t="s">
        <v>390</v>
      </c>
      <c r="E13" s="175">
        <v>1720709.0</v>
      </c>
    </row>
    <row r="15">
      <c r="A15" s="32"/>
      <c r="B15" s="32"/>
      <c r="C15" s="160"/>
      <c r="D15" s="161"/>
      <c r="E15" s="168"/>
    </row>
    <row r="17">
      <c r="C17" s="33" t="s">
        <v>60</v>
      </c>
      <c r="D17" s="32"/>
    </row>
    <row r="18">
      <c r="C18" s="51" t="s">
        <v>319</v>
      </c>
      <c r="D18" s="36"/>
      <c r="E18" s="36"/>
    </row>
  </sheetData>
  <mergeCells count="2">
    <mergeCell ref="C10:D10"/>
    <mergeCell ref="C18:E20"/>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2.75"/>
    <col customWidth="1" min="4" max="4" width="75.0"/>
    <col customWidth="1" min="5" max="5" width="14.0"/>
  </cols>
  <sheetData>
    <row r="1">
      <c r="A1" s="1"/>
      <c r="B1" s="1"/>
      <c r="C1" s="1"/>
      <c r="D1" s="1"/>
      <c r="E1" s="2"/>
    </row>
    <row r="2" ht="6.75" customHeight="1">
      <c r="A2" s="1"/>
      <c r="B2" s="4"/>
      <c r="C2" s="4"/>
      <c r="D2" s="4"/>
      <c r="E2" s="5"/>
    </row>
    <row r="3">
      <c r="A3" s="1"/>
      <c r="B3" s="4"/>
      <c r="C3" s="4"/>
      <c r="D3" s="4"/>
      <c r="E3" s="5"/>
    </row>
    <row r="4">
      <c r="A4" s="1"/>
      <c r="B4" s="4"/>
      <c r="C4" s="4"/>
      <c r="D4" s="4"/>
      <c r="E4" s="5"/>
    </row>
    <row r="5">
      <c r="A5" s="32"/>
      <c r="B5" s="8"/>
      <c r="C5" s="9" t="s">
        <v>419</v>
      </c>
      <c r="D5" s="4"/>
      <c r="E5" s="120"/>
    </row>
    <row r="6">
      <c r="A6" s="32"/>
      <c r="B6" s="4"/>
      <c r="C6" s="4"/>
      <c r="D6" s="4"/>
      <c r="E6" s="5"/>
    </row>
    <row r="7">
      <c r="A7" s="32"/>
      <c r="B7" s="11"/>
      <c r="C7" s="12" t="s">
        <v>420</v>
      </c>
      <c r="D7" s="13"/>
      <c r="E7" s="124">
        <v>45291.0</v>
      </c>
    </row>
    <row r="8">
      <c r="A8" s="32"/>
      <c r="B8" s="32"/>
      <c r="C8" s="21"/>
      <c r="D8" s="22"/>
      <c r="E8" s="79"/>
    </row>
    <row r="9">
      <c r="A9" s="32"/>
      <c r="B9" s="32"/>
      <c r="C9" s="21"/>
      <c r="D9" s="22"/>
      <c r="E9" s="79"/>
    </row>
    <row r="10">
      <c r="A10" s="32"/>
      <c r="B10" s="32"/>
      <c r="C10" s="22" t="s">
        <v>421</v>
      </c>
      <c r="E10" s="79"/>
    </row>
    <row r="11">
      <c r="A11" s="32"/>
      <c r="B11" s="32"/>
      <c r="C11" s="115"/>
      <c r="D11" s="114" t="s">
        <v>422</v>
      </c>
      <c r="E11" s="176" t="s">
        <v>423</v>
      </c>
    </row>
    <row r="12">
      <c r="A12" s="32"/>
      <c r="B12" s="32"/>
      <c r="C12" s="32"/>
      <c r="D12" s="156" t="s">
        <v>424</v>
      </c>
      <c r="E12" s="177" t="s">
        <v>425</v>
      </c>
    </row>
    <row r="14">
      <c r="A14" s="32"/>
      <c r="B14" s="32"/>
      <c r="C14" s="160"/>
      <c r="D14" s="161"/>
      <c r="E14" s="168"/>
    </row>
    <row r="16">
      <c r="C16" s="33" t="s">
        <v>60</v>
      </c>
      <c r="D16" s="32"/>
    </row>
    <row r="17">
      <c r="C17" s="178" t="s">
        <v>426</v>
      </c>
    </row>
    <row r="18">
      <c r="C18" s="178" t="s">
        <v>319</v>
      </c>
    </row>
    <row r="20" ht="18.75" customHeight="1"/>
  </sheetData>
  <mergeCells count="3">
    <mergeCell ref="C10:D10"/>
    <mergeCell ref="C17:E17"/>
    <mergeCell ref="C18:E20"/>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2.75"/>
    <col customWidth="1" min="4" max="4" width="68.13"/>
    <col customWidth="1" min="5" max="5" width="14.0"/>
  </cols>
  <sheetData>
    <row r="1">
      <c r="A1" s="1"/>
      <c r="B1" s="1"/>
      <c r="C1" s="1"/>
      <c r="D1" s="1"/>
      <c r="E1" s="2"/>
    </row>
    <row r="2" ht="6.75" customHeight="1">
      <c r="A2" s="1"/>
      <c r="B2" s="4"/>
      <c r="C2" s="4"/>
      <c r="D2" s="4"/>
      <c r="E2" s="5"/>
    </row>
    <row r="3">
      <c r="A3" s="1"/>
      <c r="B3" s="4"/>
      <c r="C3" s="4"/>
      <c r="D3" s="4"/>
      <c r="E3" s="5"/>
    </row>
    <row r="4">
      <c r="A4" s="1"/>
      <c r="B4" s="4"/>
      <c r="C4" s="4"/>
      <c r="D4" s="4"/>
      <c r="E4" s="5"/>
    </row>
    <row r="5">
      <c r="A5" s="7"/>
      <c r="B5" s="8"/>
      <c r="C5" s="9" t="s">
        <v>427</v>
      </c>
      <c r="D5" s="4"/>
      <c r="E5" s="55" t="s">
        <v>1</v>
      </c>
    </row>
    <row r="6">
      <c r="A6" s="1"/>
      <c r="B6" s="4"/>
      <c r="C6" s="4"/>
      <c r="D6" s="9"/>
      <c r="E6" s="55" t="s">
        <v>428</v>
      </c>
    </row>
    <row r="7">
      <c r="A7" s="10"/>
      <c r="B7" s="11"/>
      <c r="C7" s="12" t="s">
        <v>6</v>
      </c>
      <c r="D7" s="13"/>
      <c r="E7" s="44">
        <v>45282.0</v>
      </c>
    </row>
    <row r="8">
      <c r="A8" s="17"/>
      <c r="B8" s="17"/>
      <c r="C8" s="21" t="s">
        <v>8</v>
      </c>
      <c r="D8" s="22" t="s">
        <v>429</v>
      </c>
      <c r="E8" s="22">
        <v>4.14549555E8</v>
      </c>
    </row>
    <row r="9">
      <c r="A9" s="17"/>
      <c r="B9" s="17"/>
      <c r="C9" s="21" t="s">
        <v>430</v>
      </c>
      <c r="D9" s="156" t="s">
        <v>431</v>
      </c>
      <c r="E9" s="22">
        <v>2.76634047E8</v>
      </c>
    </row>
    <row r="10">
      <c r="A10" s="17"/>
      <c r="B10" s="17"/>
      <c r="C10" s="21" t="s">
        <v>432</v>
      </c>
      <c r="D10" s="22" t="s">
        <v>433</v>
      </c>
      <c r="E10" s="22" t="s">
        <v>16</v>
      </c>
    </row>
    <row r="11">
      <c r="A11" s="17"/>
      <c r="B11" s="17"/>
      <c r="C11" s="21" t="s">
        <v>434</v>
      </c>
      <c r="D11" s="22" t="s">
        <v>435</v>
      </c>
      <c r="E11" s="22">
        <v>1.37915508E8</v>
      </c>
    </row>
    <row r="12">
      <c r="B12" s="17"/>
      <c r="C12" s="21" t="s">
        <v>436</v>
      </c>
      <c r="D12" s="22" t="s">
        <v>437</v>
      </c>
      <c r="E12" s="22" t="s">
        <v>16</v>
      </c>
    </row>
    <row r="13">
      <c r="A13" s="17"/>
      <c r="B13" s="17"/>
      <c r="C13" s="21" t="s">
        <v>10</v>
      </c>
      <c r="D13" s="22" t="s">
        <v>438</v>
      </c>
      <c r="E13" s="22" t="s">
        <v>16</v>
      </c>
    </row>
    <row r="14">
      <c r="A14" s="17"/>
      <c r="B14" s="17"/>
      <c r="C14" s="21" t="s">
        <v>12</v>
      </c>
      <c r="D14" s="22" t="s">
        <v>439</v>
      </c>
      <c r="E14" s="22">
        <v>2.90291241E8</v>
      </c>
    </row>
    <row r="15">
      <c r="A15" s="17"/>
      <c r="B15" s="17"/>
      <c r="C15" s="21" t="s">
        <v>20</v>
      </c>
      <c r="D15" s="22" t="s">
        <v>440</v>
      </c>
      <c r="E15" s="22" t="s">
        <v>16</v>
      </c>
    </row>
    <row r="16">
      <c r="A16" s="17"/>
      <c r="B16" s="17"/>
      <c r="C16" s="114" t="s">
        <v>32</v>
      </c>
      <c r="D16" s="115" t="s">
        <v>390</v>
      </c>
      <c r="E16" s="179">
        <v>7.04895315E8</v>
      </c>
    </row>
    <row r="17">
      <c r="A17" s="32"/>
      <c r="B17" s="32"/>
      <c r="C17" s="32"/>
      <c r="D17" s="32"/>
      <c r="E17" s="49"/>
    </row>
    <row r="18">
      <c r="A18" s="32"/>
      <c r="B18" s="32"/>
      <c r="C18" s="33" t="s">
        <v>60</v>
      </c>
      <c r="D18" s="33"/>
      <c r="E18" s="32"/>
    </row>
    <row r="19">
      <c r="A19" s="32"/>
      <c r="B19" s="32"/>
      <c r="C19" s="51" t="s">
        <v>441</v>
      </c>
      <c r="D19" s="36"/>
      <c r="E19" s="161"/>
    </row>
    <row r="20">
      <c r="A20" s="32"/>
      <c r="B20" s="32"/>
      <c r="C20" s="32"/>
      <c r="D20" s="32"/>
      <c r="E20" s="49"/>
    </row>
    <row r="21">
      <c r="A21" s="32"/>
      <c r="B21" s="32"/>
      <c r="C21" s="32"/>
      <c r="D21" s="32"/>
      <c r="E21" s="49"/>
    </row>
    <row r="22">
      <c r="A22" s="32"/>
      <c r="B22" s="32"/>
      <c r="C22" s="32"/>
      <c r="D22" s="32"/>
      <c r="E22" s="49"/>
    </row>
  </sheetData>
  <mergeCells count="1">
    <mergeCell ref="C19:D19"/>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88"/>
    <col customWidth="1" min="2" max="2" width="1.75"/>
    <col customWidth="1" min="3" max="3" width="16.38"/>
    <col customWidth="1" min="4" max="11" width="14.0"/>
    <col customWidth="1" min="12" max="27" width="18.5"/>
  </cols>
  <sheetData>
    <row r="2">
      <c r="B2" s="4"/>
      <c r="C2" s="4"/>
      <c r="D2" s="4"/>
      <c r="E2" s="4"/>
      <c r="F2" s="4"/>
      <c r="G2" s="4"/>
      <c r="H2" s="4"/>
      <c r="I2" s="4"/>
      <c r="J2" s="4"/>
      <c r="K2" s="4"/>
    </row>
    <row r="3">
      <c r="B3" s="4"/>
      <c r="C3" s="4"/>
      <c r="D3" s="4"/>
      <c r="E3" s="4"/>
      <c r="F3" s="4"/>
      <c r="G3" s="4"/>
      <c r="H3" s="4"/>
      <c r="I3" s="4"/>
      <c r="J3" s="4"/>
      <c r="K3" s="4"/>
    </row>
    <row r="4">
      <c r="B4" s="9"/>
      <c r="C4" s="9"/>
      <c r="D4" s="4"/>
      <c r="E4" s="4"/>
      <c r="F4" s="4"/>
      <c r="G4" s="4"/>
      <c r="H4" s="4"/>
      <c r="I4" s="4"/>
      <c r="J4" s="4"/>
      <c r="K4" s="4"/>
    </row>
    <row r="5">
      <c r="B5" s="9"/>
      <c r="C5" s="9" t="s">
        <v>442</v>
      </c>
      <c r="D5" s="4"/>
      <c r="E5" s="4"/>
      <c r="F5" s="4"/>
      <c r="G5" s="4"/>
      <c r="H5" s="4"/>
      <c r="I5" s="4"/>
      <c r="J5" s="4"/>
      <c r="K5" s="4"/>
    </row>
    <row r="6">
      <c r="B6" s="9"/>
      <c r="C6" s="9" t="s">
        <v>443</v>
      </c>
      <c r="D6" s="4"/>
      <c r="E6" s="4"/>
      <c r="F6" s="4"/>
      <c r="G6" s="4"/>
      <c r="H6" s="4"/>
      <c r="I6" s="4"/>
      <c r="J6" s="4"/>
      <c r="K6" s="4"/>
    </row>
    <row r="7">
      <c r="B7" s="9"/>
      <c r="C7" s="9" t="s">
        <v>444</v>
      </c>
      <c r="D7" s="4"/>
      <c r="E7" s="4"/>
      <c r="F7" s="4"/>
      <c r="G7" s="4"/>
      <c r="H7" s="4"/>
      <c r="I7" s="4"/>
      <c r="J7" s="4"/>
      <c r="K7" s="44">
        <v>45291.0</v>
      </c>
    </row>
    <row r="8">
      <c r="B8" s="8"/>
      <c r="C8" s="8"/>
      <c r="D8" s="180" t="s">
        <v>445</v>
      </c>
      <c r="H8" s="180" t="s">
        <v>446</v>
      </c>
    </row>
    <row r="9">
      <c r="B9" s="181"/>
      <c r="C9" s="181"/>
      <c r="D9" s="182" t="s">
        <v>447</v>
      </c>
      <c r="E9" s="183"/>
      <c r="F9" s="184" t="s">
        <v>448</v>
      </c>
      <c r="G9" s="185"/>
      <c r="H9" s="182" t="s">
        <v>447</v>
      </c>
      <c r="I9" s="183"/>
      <c r="J9" s="184" t="s">
        <v>448</v>
      </c>
    </row>
    <row r="10">
      <c r="B10" s="186"/>
      <c r="C10" s="187" t="s">
        <v>449</v>
      </c>
      <c r="D10" s="188" t="s">
        <v>450</v>
      </c>
      <c r="E10" s="189" t="s">
        <v>451</v>
      </c>
      <c r="F10" s="188" t="s">
        <v>450</v>
      </c>
      <c r="G10" s="189" t="s">
        <v>451</v>
      </c>
      <c r="H10" s="188" t="s">
        <v>450</v>
      </c>
      <c r="I10" s="189" t="s">
        <v>451</v>
      </c>
      <c r="J10" s="188" t="s">
        <v>450</v>
      </c>
      <c r="K10" s="188" t="s">
        <v>451</v>
      </c>
    </row>
    <row r="11">
      <c r="B11" s="190"/>
      <c r="C11" s="190" t="s">
        <v>452</v>
      </c>
      <c r="D11" s="191">
        <v>6569.0</v>
      </c>
      <c r="E11" s="192">
        <v>4227.0</v>
      </c>
      <c r="F11" s="191"/>
      <c r="G11" s="192"/>
      <c r="H11" s="191">
        <v>165.0</v>
      </c>
      <c r="I11" s="192"/>
      <c r="J11" s="191"/>
      <c r="K11" s="191"/>
    </row>
    <row r="12">
      <c r="B12" s="190"/>
      <c r="C12" s="190" t="s">
        <v>453</v>
      </c>
      <c r="D12" s="191">
        <v>2953.0</v>
      </c>
      <c r="E12" s="192"/>
      <c r="F12" s="191"/>
      <c r="G12" s="192"/>
      <c r="H12" s="191"/>
      <c r="I12" s="192"/>
      <c r="J12" s="191"/>
      <c r="K12" s="191"/>
    </row>
    <row r="13">
      <c r="B13" s="190"/>
      <c r="C13" s="190" t="s">
        <v>454</v>
      </c>
      <c r="D13" s="191"/>
      <c r="E13" s="192"/>
      <c r="F13" s="191"/>
      <c r="G13" s="192"/>
      <c r="H13" s="191"/>
      <c r="I13" s="192"/>
      <c r="J13" s="191"/>
      <c r="K13" s="191"/>
    </row>
    <row r="14">
      <c r="B14" s="190"/>
      <c r="C14" s="190" t="s">
        <v>455</v>
      </c>
      <c r="D14" s="191"/>
      <c r="E14" s="192"/>
      <c r="F14" s="191"/>
      <c r="G14" s="192"/>
      <c r="H14" s="191"/>
      <c r="I14" s="192"/>
      <c r="J14" s="191"/>
      <c r="K14" s="191"/>
    </row>
  </sheetData>
  <mergeCells count="6">
    <mergeCell ref="D8:G8"/>
    <mergeCell ref="H8:K8"/>
    <mergeCell ref="D9:E9"/>
    <mergeCell ref="F9:G9"/>
    <mergeCell ref="H9:I9"/>
    <mergeCell ref="J9:K9"/>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2.75"/>
    <col customWidth="1" min="4" max="4" width="74.0"/>
    <col customWidth="1" min="5" max="5" width="14.0"/>
    <col customWidth="1" min="6" max="6" width="15.38"/>
    <col customWidth="1" min="7" max="8" width="15.75"/>
  </cols>
  <sheetData>
    <row r="1">
      <c r="A1" s="1"/>
      <c r="B1" s="1"/>
      <c r="C1" s="1"/>
      <c r="D1" s="1"/>
      <c r="E1" s="2"/>
      <c r="F1" s="3"/>
      <c r="G1" s="3"/>
      <c r="H1" s="3"/>
    </row>
    <row r="2" ht="6.75" customHeight="1">
      <c r="A2" s="1"/>
      <c r="B2" s="4"/>
      <c r="C2" s="4"/>
      <c r="D2" s="4"/>
      <c r="E2" s="5"/>
      <c r="F2" s="6"/>
      <c r="G2" s="5"/>
      <c r="H2" s="6"/>
    </row>
    <row r="3">
      <c r="A3" s="1"/>
      <c r="B3" s="4"/>
      <c r="C3" s="4"/>
      <c r="D3" s="4"/>
      <c r="E3" s="5"/>
      <c r="F3" s="6"/>
      <c r="G3" s="5"/>
      <c r="H3" s="6"/>
    </row>
    <row r="4">
      <c r="A4" s="1"/>
      <c r="B4" s="4"/>
      <c r="C4" s="4"/>
      <c r="D4" s="4"/>
      <c r="E4" s="5"/>
      <c r="F4" s="6"/>
      <c r="G4" s="5"/>
      <c r="H4" s="6"/>
    </row>
    <row r="5">
      <c r="A5" s="7"/>
      <c r="B5" s="8"/>
      <c r="C5" s="9" t="s">
        <v>456</v>
      </c>
      <c r="D5" s="4"/>
      <c r="E5" s="55"/>
      <c r="F5" s="6"/>
      <c r="G5" s="5"/>
      <c r="H5" s="6"/>
    </row>
    <row r="6">
      <c r="A6" s="1"/>
      <c r="B6" s="4"/>
      <c r="C6" s="4"/>
      <c r="D6" s="9"/>
      <c r="E6" s="193" t="s">
        <v>457</v>
      </c>
      <c r="F6" s="42"/>
      <c r="G6" s="193" t="s">
        <v>458</v>
      </c>
      <c r="H6" s="42"/>
    </row>
    <row r="7">
      <c r="A7" s="10"/>
      <c r="B7" s="11"/>
      <c r="C7" s="12" t="s">
        <v>6</v>
      </c>
      <c r="D7" s="13"/>
      <c r="E7" s="44">
        <v>45291.0</v>
      </c>
      <c r="F7" s="44">
        <f>E7-365</f>
        <v>44926</v>
      </c>
      <c r="G7" s="44">
        <v>45291.0</v>
      </c>
      <c r="H7" s="44">
        <f>G7-365</f>
        <v>44926</v>
      </c>
    </row>
    <row r="8">
      <c r="A8" s="17"/>
      <c r="B8" s="20"/>
      <c r="C8" s="21"/>
      <c r="D8" s="22" t="s">
        <v>459</v>
      </c>
      <c r="E8" s="194">
        <v>8.7541994E7</v>
      </c>
      <c r="F8" s="195"/>
      <c r="G8" s="196" t="s">
        <v>16</v>
      </c>
      <c r="H8" s="196"/>
    </row>
    <row r="9">
      <c r="A9" s="17"/>
      <c r="B9" s="20"/>
      <c r="C9" s="21"/>
      <c r="D9" s="22" t="s">
        <v>460</v>
      </c>
      <c r="E9" s="194">
        <v>71319.0</v>
      </c>
      <c r="F9" s="195"/>
      <c r="G9" s="196">
        <v>1.138072819E9</v>
      </c>
      <c r="H9" s="196"/>
    </row>
    <row r="10">
      <c r="A10" s="17"/>
      <c r="B10" s="20"/>
      <c r="C10" s="21"/>
      <c r="D10" s="22" t="s">
        <v>461</v>
      </c>
      <c r="E10" s="197" t="s">
        <v>43</v>
      </c>
      <c r="F10" s="198" t="s">
        <v>43</v>
      </c>
      <c r="G10" s="199"/>
      <c r="H10" s="199"/>
    </row>
    <row r="11">
      <c r="A11" s="17"/>
      <c r="B11" s="20"/>
      <c r="C11" s="21"/>
      <c r="D11" s="22" t="s">
        <v>462</v>
      </c>
      <c r="E11" s="197" t="s">
        <v>43</v>
      </c>
      <c r="F11" s="198" t="s">
        <v>43</v>
      </c>
      <c r="G11" s="199"/>
      <c r="H11" s="199"/>
    </row>
    <row r="12">
      <c r="A12" s="17"/>
      <c r="B12" s="20"/>
      <c r="C12" s="21"/>
      <c r="D12" s="22" t="s">
        <v>463</v>
      </c>
      <c r="E12" s="197" t="s">
        <v>43</v>
      </c>
      <c r="F12" s="198" t="s">
        <v>43</v>
      </c>
      <c r="G12" s="199"/>
      <c r="H12" s="199"/>
    </row>
    <row r="13">
      <c r="A13" s="17"/>
      <c r="B13" s="20"/>
      <c r="C13" s="200"/>
      <c r="D13" s="201" t="s">
        <v>464</v>
      </c>
      <c r="E13" s="197" t="s">
        <v>43</v>
      </c>
      <c r="F13" s="198" t="s">
        <v>43</v>
      </c>
      <c r="G13" s="199"/>
      <c r="H13" s="199"/>
    </row>
    <row r="14">
      <c r="A14" s="17"/>
      <c r="B14" s="20"/>
      <c r="C14" s="21"/>
      <c r="D14" s="46" t="s">
        <v>465</v>
      </c>
      <c r="E14" s="194">
        <v>8.7542413E7</v>
      </c>
      <c r="F14" s="195"/>
      <c r="G14" s="196">
        <v>1.138072819E9</v>
      </c>
      <c r="H14" s="196"/>
    </row>
    <row r="15">
      <c r="A15" s="17"/>
      <c r="B15" s="20"/>
      <c r="C15" s="21"/>
      <c r="D15" s="46" t="s">
        <v>466</v>
      </c>
      <c r="E15" s="202">
        <v>45283.0</v>
      </c>
      <c r="F15" s="203"/>
      <c r="G15" s="202">
        <v>44918.0</v>
      </c>
    </row>
    <row r="16">
      <c r="A16" s="17"/>
      <c r="B16" s="20"/>
      <c r="C16" s="21"/>
      <c r="D16" s="204" t="s">
        <v>467</v>
      </c>
      <c r="E16" s="205">
        <v>1.1637887627E10</v>
      </c>
      <c r="F16" s="205"/>
      <c r="G16" s="206"/>
      <c r="H16" s="206"/>
    </row>
    <row r="17">
      <c r="A17" s="32"/>
      <c r="B17" s="32"/>
      <c r="C17" s="32"/>
      <c r="D17" s="32"/>
      <c r="E17" s="49"/>
      <c r="F17" s="50"/>
      <c r="G17" s="49"/>
      <c r="H17" s="50"/>
    </row>
    <row r="18">
      <c r="A18" s="32"/>
      <c r="B18" s="33"/>
      <c r="C18" s="33" t="s">
        <v>60</v>
      </c>
      <c r="D18" s="32"/>
    </row>
    <row r="19">
      <c r="A19" s="32"/>
      <c r="B19" s="31"/>
      <c r="C19" s="160"/>
      <c r="D19" s="35" t="s">
        <v>319</v>
      </c>
      <c r="E19" s="36"/>
      <c r="F19" s="36"/>
      <c r="G19" s="36"/>
      <c r="H19" s="168"/>
    </row>
    <row r="20">
      <c r="A20" s="52"/>
      <c r="B20" s="52"/>
      <c r="C20" s="52"/>
      <c r="D20" s="52"/>
      <c r="E20" s="52"/>
      <c r="F20" s="52"/>
      <c r="G20" s="52"/>
      <c r="H20" s="52"/>
    </row>
    <row r="21">
      <c r="A21" s="32"/>
      <c r="B21" s="32"/>
      <c r="C21" s="32"/>
      <c r="D21" s="32"/>
      <c r="E21" s="49"/>
      <c r="F21" s="50"/>
      <c r="G21" s="49"/>
      <c r="H21" s="50"/>
    </row>
    <row r="22">
      <c r="A22" s="32"/>
      <c r="B22" s="32"/>
      <c r="C22" s="32"/>
      <c r="D22" s="32"/>
      <c r="E22" s="49"/>
      <c r="F22" s="50"/>
      <c r="G22" s="49"/>
      <c r="H22" s="50"/>
    </row>
  </sheetData>
  <mergeCells count="5">
    <mergeCell ref="E6:F6"/>
    <mergeCell ref="G6:H6"/>
    <mergeCell ref="E15:F15"/>
    <mergeCell ref="G15:H15"/>
    <mergeCell ref="D19:G19"/>
  </mergeCells>
  <drawing r:id="rId1"/>
</worksheet>
</file>