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A" sheetId="1" r:id="rId4"/>
    <sheet state="visible" name="CC1" sheetId="2" r:id="rId5"/>
    <sheet state="visible" name="CC2" sheetId="3" r:id="rId6"/>
    <sheet state="visible" name="KM1" sheetId="4" r:id="rId7"/>
    <sheet state="visible" name="OV1" sheetId="5" r:id="rId8"/>
    <sheet state="visible" name="MR1" sheetId="6" r:id="rId9"/>
    <sheet state="visible" name="CR1" sheetId="7" r:id="rId10"/>
    <sheet state="visible" name="CR2" sheetId="8" r:id="rId11"/>
    <sheet state="visible" name="CRBa" sheetId="9" r:id="rId12"/>
    <sheet state="visible" name="CRBb" sheetId="10" r:id="rId13"/>
    <sheet state="visible" name="CRBc" sheetId="11" r:id="rId14"/>
    <sheet state="visible" name="CRBd" sheetId="12" r:id="rId15"/>
    <sheet state="visible" name="CRBe" sheetId="13" r:id="rId16"/>
    <sheet state="visible" name="IRRBB1" sheetId="14" r:id="rId17"/>
    <sheet state="visible" name="Exposição Derivativos" sheetId="15" r:id="rId18"/>
    <sheet state="hidden" name="Padrão" sheetId="16" r:id="rId19"/>
    <sheet state="hidden" name="Campos Adicionais" sheetId="17" r:id="rId20"/>
  </sheets>
  <definedNames>
    <definedName hidden="1" localSheetId="15" name="_xlnm._FilterDatabase">'Padrão'!$A$1:$Q$202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89">
      <text>
        <t xml:space="preserve">excluir essa linha e os itens: 82 a 85.
	-Vanessa Paixao
----
excluir essa linha
	-Vanessa Paixao</t>
      </text>
    </comment>
    <comment authorId="0" ref="C63">
      <text>
        <t xml:space="preserve">excluir essa linha
	-Vanessa Paixao</t>
      </text>
    </comment>
    <comment authorId="0" ref="C62">
      <text>
        <t xml:space="preserve">excluir essa linha
	-Vanessa Paixao</t>
      </text>
    </comment>
    <comment authorId="0" ref="C47">
      <text>
        <t xml:space="preserve">excluir essa linha
	-Vanessa Paixao</t>
      </text>
    </comment>
    <comment authorId="0" ref="C46">
      <text>
        <t xml:space="preserve">Excluir essa linha
	-Vanessa Paixao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@nathalia.barduzzi@nubank.com.br poderia excluir essa coluna, por favor? cc: @marisa.silva@nubank.com.br
_Assigned to Nathalia Barduzzi_
	-Vanessa Paixao</t>
      </text>
    </comment>
  </commentList>
</comments>
</file>

<file path=xl/sharedStrings.xml><?xml version="1.0" encoding="utf-8"?>
<sst xmlns="http://schemas.openxmlformats.org/spreadsheetml/2006/main" count="2198" uniqueCount="527">
  <si>
    <t>Principais características dos instrumentos que compõem o Patrimônio de Referência (PR)</t>
  </si>
  <si>
    <t>Valores em R$</t>
  </si>
  <si>
    <t>1</t>
  </si>
  <si>
    <t>Emissor</t>
  </si>
  <si>
    <t>NU FINANCEIRA S.A. – SOCIEDADE DE CRÉDITO, FINANCIAMENTO E INVESTIMENTO</t>
  </si>
  <si>
    <t>2</t>
  </si>
  <si>
    <t>Identificador único</t>
  </si>
  <si>
    <t>LFSN1900844</t>
  </si>
  <si>
    <t>LFSN22008CB</t>
  </si>
  <si>
    <t>BRNUFNLFI039</t>
  </si>
  <si>
    <t>3</t>
  </si>
  <si>
    <t>Lei aplicável ao instrumento</t>
  </si>
  <si>
    <t>Lei nº 12.249, de 11 de junho de 2010 |Resolução nº 4.123, de 23 de agosto de 2012, do Conselho Monetário Nacional | Resolução nº 4.192, de 1º de março de 2013, do CMN | Lei nº 6.385, de 7 de dezembro de 1976 | Instrução CVM nº 476, de 16 de janeiro de 2009</t>
  </si>
  <si>
    <t>4</t>
  </si>
  <si>
    <t>Classificação do instrumento como componente do PR durante o tratamento temporário de que trata o art. 28 da Resolução nº 4.192, de 2013.</t>
  </si>
  <si>
    <t>NA</t>
  </si>
  <si>
    <t>5</t>
  </si>
  <si>
    <t>Classificação do instrumento como componente do PR após o tratamento temporário de que trata a linha anterior</t>
  </si>
  <si>
    <t>Nível II</t>
  </si>
  <si>
    <t>Nível I</t>
  </si>
  <si>
    <t>6</t>
  </si>
  <si>
    <t>Escopo da elegibilidade do instrumento</t>
  </si>
  <si>
    <t>Conglomerado</t>
  </si>
  <si>
    <t>7</t>
  </si>
  <si>
    <t>Tipo de instrumento</t>
  </si>
  <si>
    <t>Letra Financeira</t>
  </si>
  <si>
    <t>8</t>
  </si>
  <si>
    <t>Valor reconhecido no PR</t>
  </si>
  <si>
    <t>9</t>
  </si>
  <si>
    <t>Valor de face do instrumento</t>
  </si>
  <si>
    <t>10</t>
  </si>
  <si>
    <t>Classificação contábil</t>
  </si>
  <si>
    <t>Passivo – custo amortizado</t>
  </si>
  <si>
    <t>11</t>
  </si>
  <si>
    <t>Data original de emissão</t>
  </si>
  <si>
    <t>14/06/19</t>
  </si>
  <si>
    <t>17/06/22</t>
  </si>
  <si>
    <t>31/10/22</t>
  </si>
  <si>
    <t>12</t>
  </si>
  <si>
    <t>Perpétuo ou com vencimento</t>
  </si>
  <si>
    <t>Com vencimento</t>
  </si>
  <si>
    <t>Perpétuo</t>
  </si>
  <si>
    <t>13</t>
  </si>
  <si>
    <t>Data original de vencimento</t>
  </si>
  <si>
    <t>14/06/29</t>
  </si>
  <si>
    <t>17/06/32</t>
  </si>
  <si>
    <t>14</t>
  </si>
  <si>
    <t>Opção de resgate ou recompra</t>
  </si>
  <si>
    <t>Sim</t>
  </si>
  <si>
    <t>15</t>
  </si>
  <si>
    <t>(1) Data de resgate ou de recompra (2) Datas de resgate ou de recompra condicionadas (3) Valor de resgate ou de recompra</t>
  </si>
  <si>
    <t>14/06/24</t>
  </si>
  <si>
    <t>17/06/27</t>
  </si>
  <si>
    <t>16</t>
  </si>
  <si>
    <t>Datas de resgate ou de recompra subsequentes, se aplicável</t>
  </si>
  <si>
    <t>Resgate ou recompra pode ocorrer a partir 14/06/2024</t>
  </si>
  <si>
    <t>Resgate ou recompra pode ocorrer a partir 17/06/2027</t>
  </si>
  <si>
    <t>Resgate ou recompra pode ocorrer a partir 01/01/2028</t>
  </si>
  <si>
    <t>Remuneração/Dividendos</t>
  </si>
  <si>
    <t>17</t>
  </si>
  <si>
    <t>Remuneração ou dividendos fixos ou variáveis</t>
  </si>
  <si>
    <t>Fixo</t>
  </si>
  <si>
    <t>18</t>
  </si>
  <si>
    <t>Taxa de remuneração e índice referenciado</t>
  </si>
  <si>
    <t>12,8%</t>
  </si>
  <si>
    <t>16,0%</t>
  </si>
  <si>
    <t>17,32%</t>
  </si>
  <si>
    <t>19</t>
  </si>
  <si>
    <t>Possibilidade de suspensão de pagamento de dividendos</t>
  </si>
  <si>
    <t>Não</t>
  </si>
  <si>
    <t>20</t>
  </si>
  <si>
    <t>Completa discricionariedade, discricionariedade parcial ou mandatória</t>
  </si>
  <si>
    <t>Mandatório</t>
  </si>
  <si>
    <t>21</t>
  </si>
  <si>
    <t>Existência de cláusulas que alterem prazos ou condições de remuneração pactuados ou outro incentivo para resgate</t>
  </si>
  <si>
    <t>22</t>
  </si>
  <si>
    <t>Cumulativo ou não cumulativo</t>
  </si>
  <si>
    <t>23</t>
  </si>
  <si>
    <t>Conversível ou não conversível</t>
  </si>
  <si>
    <t>Não conversível</t>
  </si>
  <si>
    <t>24</t>
  </si>
  <si>
    <t>Se conversível, em quais situações</t>
  </si>
  <si>
    <t>25</t>
  </si>
  <si>
    <t>Se conversível, totalmente ou parcialmente</t>
  </si>
  <si>
    <t>26</t>
  </si>
  <si>
    <t>Se conversível, taxa de conversão</t>
  </si>
  <si>
    <t>27</t>
  </si>
  <si>
    <t>Se conversível, conversão obrigatória ou opcional</t>
  </si>
  <si>
    <t>28</t>
  </si>
  <si>
    <t>Se conversível, especificar para qual tipo de instrumento</t>
  </si>
  <si>
    <t>29</t>
  </si>
  <si>
    <t>Se conversível, especificar o emissor do instrumento para o qual pode ser convertido</t>
  </si>
  <si>
    <t>30</t>
  </si>
  <si>
    <t>Características para a extinção do instrumento</t>
  </si>
  <si>
    <t>31</t>
  </si>
  <si>
    <t>Se extinguível, em quais situações</t>
  </si>
  <si>
    <t>(i) A divulgação pelo Emissor, na forma prevista pelo Banco Central, de que seu Capital Principal, tal como definidos na Resolução CMN 4.192, do Patrimônio de Referência está em patamar inferior a 4,5% do montante RWA (ativos ponderados pelo risco) apurado de acordo com a Resolução do CMN nº 4.193, de 1º de março de 2013;
(ii) A assinatura de compromisso de aporte para o Emissor, de acordo com a exceção prevista no caput do Artigo 28 da Lei Complementar n° 101, de 4 de maio de 2000;
(iii) A decretação, pelo Banco Central, de regime de administração especial temporária ou intervenção nos negócios do Emissor; ou
(iv) A determinação, pelo Banco Central, de extinção das Letras Financeiras da Segunda Série segundo critérios estabelecidos em regulamento específico editado pelo CMN.</t>
  </si>
  <si>
    <t>(i) A divulgação pelo Emissor, na forma prevista pelo Banco Central, de que seu Capital Principal, tal como definidos na Resolução CMN 4.955, do Patrimônio de Referência está em patamar inferior a 4,5% do montante RWA (ativos ponderados pelo risco) apurado de acordo com a Resolução do CMN nº 4.193, de 1º de março de 2013;
(ii) A assinatura de compromisso de aporte para o Emissor, de acordo com a exceção prevista no caput do Artigo 28 da Lei Complementar n° 101, de 4 de maio de 2000;
(iii) A decretação, pelo Banco Central, de regime de administração especial temporária ou intervenção nos negócios do Emissor; ou
(iv) A determinação, pelo Banco Central, de extinção das Letras Financeiras da Segunda Série segundo critérios estabelecidos em regulamento específico editado pelo CMN.</t>
  </si>
  <si>
    <t>(i) A divulgação pelo Emissor, na forma prevista pelo Banco Central, de que seu Capital Principal, tal como definidos na Resolução CMN 4.955, do Patrimônio de Referência está em patamar inferior a 5,125% do montante RWA (ativos ponderados pelo risco) apurado de acordo com a Resolução do CMN nº 4.193, de 1º de março de 2013;
(ii) A assinatura de compromisso de aporte para o Emissor, de acordo com a exceção prevista no caput do Artigo 28 da Lei Complementar n° 101, de 4 de maio de 2000;
(iii) A decretação, pelo Banco Central, de regime de administração especial temporária ou intervenção nos negócios do Emissor; ou
(iv) A determinação, pelo Banco Central, de extinção das Letras Financeiras da Segunda Série segundo critérios estabelecidos em regulamento específico editado pelo CMN.</t>
  </si>
  <si>
    <t>32</t>
  </si>
  <si>
    <t>Se extinguível, totalmente ou parcialmente</t>
  </si>
  <si>
    <t>Totalmente</t>
  </si>
  <si>
    <t>33</t>
  </si>
  <si>
    <t>Se extinguível, permanentemente ou temporariamente</t>
  </si>
  <si>
    <t>Permanente</t>
  </si>
  <si>
    <t>34a</t>
  </si>
  <si>
    <t>Tipo de subordinação</t>
  </si>
  <si>
    <t>Contratual</t>
  </si>
  <si>
    <t>35</t>
  </si>
  <si>
    <t>Posição na hierarquia de subordinação em caso de liquidação</t>
  </si>
  <si>
    <t>Subordinado ao pagamento dos demais passivos do Emissor na hipótese de dissolução do Emissor, com exceção do pagamento de passivos que compõem o “Capital Principal” e o “Capital Complementar”, tal como definidos na Resolução CMN 4.192.</t>
  </si>
  <si>
    <t>Subordinado ao pagamento dos demais passivos do Emissor na hipótese de dissolução do Emissor, com exceção do pagamento de passivos que compõem o “Capital Principal” e o “Capital Complementar”, tal como definidos na Resolução CMN 4.955.</t>
  </si>
  <si>
    <t>Subordinado ao pagamento dos demais passivos do Emissor na hipótese de dissolução do Emissor, com exceção do pagamento de passivos que compõem o “Capital Principal”, tal como definidos na Resolução CMN 4.955.</t>
  </si>
  <si>
    <t>36</t>
  </si>
  <si>
    <t>Possui características que não serão aceitas após o tratamento temporário de que trata o art. 28 da Resolução nº 4.192, de 2013</t>
  </si>
  <si>
    <t>37</t>
  </si>
  <si>
    <t>Se sim, especificar as características de que trata a linha anterior</t>
  </si>
  <si>
    <t>Composição do Patrimônio de Referência - PR [CC1]</t>
  </si>
  <si>
    <t>Dec-2022</t>
  </si>
  <si>
    <t>a</t>
  </si>
  <si>
    <t>b</t>
  </si>
  <si>
    <t>Valor</t>
  </si>
  <si>
    <t>Referência no
balanço do
conglomerado</t>
  </si>
  <si>
    <t>Capital Principal: instrumentos e reservas</t>
  </si>
  <si>
    <t>Instrumentos elegíveis ao Capital Principal</t>
  </si>
  <si>
    <t>(a)</t>
  </si>
  <si>
    <t>Reservas de lucros</t>
  </si>
  <si>
    <t>(b)</t>
  </si>
  <si>
    <t>Outras receitas e outras reservas</t>
  </si>
  <si>
    <t>(c)</t>
  </si>
  <si>
    <t>Participação de não controladores nos instrumentos emitidos por subsidiárias do conglomerado prudencial e elegíveis ao seu Capital Principal</t>
  </si>
  <si>
    <t>-</t>
  </si>
  <si>
    <t>Capital Principal antes dos ajustes prudenciais</t>
  </si>
  <si>
    <t>(d)</t>
  </si>
  <si>
    <t>Capital Principal: ajustes prudenciais</t>
  </si>
  <si>
    <t>Ajustes prudenciais relativos a apreçamentos de instrumentos financeiros (PVA)</t>
  </si>
  <si>
    <t>Ágios pagos na aquisição de investimentos com fundamento em expectativa de rentabilidade futura</t>
  </si>
  <si>
    <t>Ativos intangíveis</t>
  </si>
  <si>
    <t>Créditos tributários decorrentes de prejuízos fiscais e de base negativa de Contribuição Social sobre o Lucro Líquido e os originados dessa contribuição relativos a períodos de apuração encerrados até 31 de dezembro de 1998</t>
  </si>
  <si>
    <t>Ajustes relativos ao valor de mercado dos instrumentos financeiros derivativos utilizados para hedge de fluxo de caixa de itens protegidos cujos ajustes de marcação a mercado não são registrados contabilmente</t>
  </si>
  <si>
    <t>Ativos atuariais relacionados a fundos de pensão de benefício definido</t>
  </si>
  <si>
    <t>Ações ou outros instrumentos de emissão própria autorizados a compor o Capital Principal da instituição ou conglomerado, adquiridos diretamente, indiretamente ou de forma sintética</t>
  </si>
  <si>
    <t>Valor total das deduções relativas às aquisições recíprocas de Capital Principal</t>
  </si>
  <si>
    <t>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consolidadas, sociedades seguradoras, resseguradoras, de capitalização e entidades abertas de previdência complementar</t>
  </si>
  <si>
    <t>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consolidadas, sociedades seguradoras, resseguradoras, de capitalização e entidades abertas de previdência complementar, que exceda 10% do valor do Capital Principal da própria instituição ou conglomerado, desconsiderando deduções específicas</t>
  </si>
  <si>
    <t>Valor total das deduções relativas aos créditos tributários decorrentes de diferenças temporárias que dependam de geração de lucros ou receitas tributáveis futuras para sua realização, que exceda 10% do Capital Principal da própria instituição ou conglomerado, desconsiderando deduções específicas</t>
  </si>
  <si>
    <t>Valor que excede, de forma agregada, 15% do Capital Principal da própria instituição ou conglomerado</t>
  </si>
  <si>
    <t>do qual: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consolidadas, de sociedades seguradoras, resseguradoras, de capitalização e de entidades abertas de previdência complementar</t>
  </si>
  <si>
    <t>do qual: oriundo de créditos tributários decorrentes de diferenças temporárias que dependam de geração de lucros ou receitas tributáveis futuras para sua realização</t>
  </si>
  <si>
    <t>Ajustes regulatórios nacionais</t>
  </si>
  <si>
    <t>26.a</t>
  </si>
  <si>
    <t>Ativos permanentes diferidos</t>
  </si>
  <si>
    <t>26.b</t>
  </si>
  <si>
    <t>Investimentos em dependências, instituições financeiras controladas no exterior ou entidades não financeiras que componham o conglomerado, em relação às quais o Banco Central do Brasil não tenha acesso a informações, dados e documentos</t>
  </si>
  <si>
    <t>26.d</t>
  </si>
  <si>
    <t>Aumento de capital social não autorizado</t>
  </si>
  <si>
    <t>26.e</t>
  </si>
  <si>
    <t>Excedente do valor ajustado de Capital Principal</t>
  </si>
  <si>
    <t>26.f</t>
  </si>
  <si>
    <t>Depósito para suprir deficiência de capital</t>
  </si>
  <si>
    <t>26.g</t>
  </si>
  <si>
    <t>Montante dos ativos intangíveis constituídos antes da entrada em vigor da Resolução nº 4.192, de 2013</t>
  </si>
  <si>
    <t>26.h</t>
  </si>
  <si>
    <t>Excesso dos recursos aplicados no Ativo Permanente</t>
  </si>
  <si>
    <t>26.i</t>
  </si>
  <si>
    <t>Destaque do PR, conforme Resolução nº 4.589, de 29 de junho de 2017</t>
  </si>
  <si>
    <t>26.j</t>
  </si>
  <si>
    <t>Outras diferenças residuais relativas à metodologia de apuração do Capital Principal para fins regulatórios</t>
  </si>
  <si>
    <t>Dedução aplicada ao Capital Principal decorrente de insuficiência de Capital Complementar e de Nível II para cobrir as respectivas deduções nesses componentes</t>
  </si>
  <si>
    <t>Total de deduções regulatórias ao Capital Principal</t>
  </si>
  <si>
    <t>Capital Principal</t>
  </si>
  <si>
    <t>Capital Complementar: instrumentos</t>
  </si>
  <si>
    <t>Instrumentos elegíveis ao Capital Complementar</t>
  </si>
  <si>
    <t>dos quais: classificados como capital social conforme as regras contábeis</t>
  </si>
  <si>
    <t>dos quais: classificados como passivo conforme as regras contábeis</t>
  </si>
  <si>
    <t>34</t>
  </si>
  <si>
    <t>Participação de não controladores nos instrumentos emitidos por subsidiárias da instituição ou conglomerado e elegíveis ao seu Capital Complementar</t>
  </si>
  <si>
    <t>Capital Complementar antes das deduções regulatórias</t>
  </si>
  <si>
    <t>Capital Complementar: deduções regulatórias</t>
  </si>
  <si>
    <t>Ações ou outros instrumentos de emissão própria autorizados a compor o Capital Complementar da instituição ou conglomerado, adquiridos diretamente, indiretamente ou de forma sintética</t>
  </si>
  <si>
    <t>38</t>
  </si>
  <si>
    <t>Valor total das deduções relativas às aquisições recíprocas de Capital Complementar</t>
  </si>
  <si>
    <t>39</t>
  </si>
  <si>
    <t>Valor total das deduções relativas aos investimentos líquidos não significativos em Capital Complementar de instituições autorizadas a funcionar pelo Banco Central do Brasil e de instituições financeiras no exterior não consolidadas</t>
  </si>
  <si>
    <t>40</t>
  </si>
  <si>
    <t>Valor total das deduções relativas aos investimentos líquidos significativos em Capital Complementar de instituições autorizadas a funcionar pelo Banco Central do Brasil e de instituições financeiras no exterior não consolidadas</t>
  </si>
  <si>
    <t>41</t>
  </si>
  <si>
    <t>41.b</t>
  </si>
  <si>
    <t>Participação de não controladores no Capital Complementar</t>
  </si>
  <si>
    <t>41.c</t>
  </si>
  <si>
    <t>Outras diferenças residuais relativas à metodologia de apuração do Capital Complementar para fins regulatórios</t>
  </si>
  <si>
    <t>42</t>
  </si>
  <si>
    <t>Dedução aplicada ao Capital Complementar decorrente de insuficiência de Nível II para cobrir a dedução nesse componente</t>
  </si>
  <si>
    <t>43</t>
  </si>
  <si>
    <t>Total de deduções regulatórias ao Capital Complementar</t>
  </si>
  <si>
    <t>44</t>
  </si>
  <si>
    <t>Capital Complementar</t>
  </si>
  <si>
    <t>45</t>
  </si>
  <si>
    <t>Nível II: instrumentos</t>
  </si>
  <si>
    <t>46</t>
  </si>
  <si>
    <t>Instrumentos elegíveis ao Nível II</t>
  </si>
  <si>
    <t>48</t>
  </si>
  <si>
    <t>Participação de não controladores nos instrumentos emitidos por subsidiárias do conglomerado e elegíveis ao seu Nível II</t>
  </si>
  <si>
    <t>51</t>
  </si>
  <si>
    <t>Nível II antes das deduções regulatórias</t>
  </si>
  <si>
    <t>Nível II: deduções regulatórias</t>
  </si>
  <si>
    <t>52</t>
  </si>
  <si>
    <t>Ações ou outros instrumentos de emissão própria, autorizados a compor o Nível II da instituição ou conglomerado, adquiridos diretamente, indiretamente ou de forma sintética</t>
  </si>
  <si>
    <t>53</t>
  </si>
  <si>
    <t>Valor total das deduções relativas às aquisições recíprocas de Nível II</t>
  </si>
  <si>
    <t>54</t>
  </si>
  <si>
    <t>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</t>
  </si>
  <si>
    <t>55</t>
  </si>
  <si>
    <t>Valor total das deduções relativas aos investimentos líquidos significativos em instrumentos de Nível II e em instrumentos reconhecidos como TLAC emitidos por instituições autorizadas a funcionar pelo Banco Central do  Brasil ou por instituições financeiras no exterior não consolidadas</t>
  </si>
  <si>
    <t>56</t>
  </si>
  <si>
    <t>56.b</t>
  </si>
  <si>
    <t>Participação de não controladores no Nível II</t>
  </si>
  <si>
    <t>56.c</t>
  </si>
  <si>
    <t>Outras diferenças residuais relativas à metodologia de apuração do Nível II para fins regulatórios</t>
  </si>
  <si>
    <t>57</t>
  </si>
  <si>
    <t>Total de deduções regulatórias ao Nível II</t>
  </si>
  <si>
    <t>58</t>
  </si>
  <si>
    <t>59</t>
  </si>
  <si>
    <t>Patrimônio de Referência</t>
  </si>
  <si>
    <t>60</t>
  </si>
  <si>
    <t>Total de ativos ponderados pelo risco (RWA)</t>
  </si>
  <si>
    <t>Índices de Basileia e Adicional de Capital Principal</t>
  </si>
  <si>
    <t>61</t>
  </si>
  <si>
    <t>Índice de Capital Principal (ICP)</t>
  </si>
  <si>
    <t>62</t>
  </si>
  <si>
    <t>Índice de Nível I (IN1)</t>
  </si>
  <si>
    <t>63</t>
  </si>
  <si>
    <t>Índice de Basileia (IB)</t>
  </si>
  <si>
    <t>64</t>
  </si>
  <si>
    <t>Percentual do adicional de Capital Principal (em relação ao RWA)</t>
  </si>
  <si>
    <t>65</t>
  </si>
  <si>
    <t>do qual: adicional para conservação de capital - ACPConservação</t>
  </si>
  <si>
    <t>66</t>
  </si>
  <si>
    <t>do qual: adicional contracíclico - ACPContracíclico</t>
  </si>
  <si>
    <t>67</t>
  </si>
  <si>
    <t>do qual: Adicional de Importância Sistêmica de Capital Principal - ACPSistêmico</t>
  </si>
  <si>
    <t>68</t>
  </si>
  <si>
    <t>Capital Principal excedente ao montante utilizado para cumprimento dos requerimentos de capital, como proporção do RWA (%)</t>
  </si>
  <si>
    <t>Valores abaixo do limite de dedução antes da aplicação de fator de ponderação de risco</t>
  </si>
  <si>
    <t>72</t>
  </si>
  <si>
    <t>Valor total, sujeito à ponderação de risco,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consolidadas, sociedades seguradoras, resseguradoras, de capitalização e entidades abertas de previdência complementar, bem como dos investimentos não significativos em Capital Complementar, em instrumentos de Nível II e em instrumentos reconhecidos como TLAC emitidos por instituições financeiras autorizadas a funcionar pelo Banco Central do Brasil ou por instituições financeiras no exterior não consolidadas</t>
  </si>
  <si>
    <t>73</t>
  </si>
  <si>
    <t>Valor total, sujeito à ponderação de risco, das participações significativas em Capital Principal de instituições autorizadas a funcionar pelo Banco Central do Brasil e de instituições financeiras no exterior não consolidas e em capital social de empresas assemelhadas a instituições financeiras não consolidadas, sociedades seguradoras, resseguradoras, de capitalização e entidades abertas de previdência complementar</t>
  </si>
  <si>
    <t>75</t>
  </si>
  <si>
    <t>Valor total, sujeito à ponderação de risco, de créditos tributários decorrentes de diferenças temporárias que dependam de geração de lucros ou receitas tributáveis futuras para sua realização, não deduzidos do Capital Principal</t>
  </si>
  <si>
    <t>Comentários</t>
  </si>
  <si>
    <t>Conciliação do Patrimônio de Referência (PR) com o balanço patrimonial</t>
  </si>
  <si>
    <t>Dec-22</t>
  </si>
  <si>
    <t>c</t>
  </si>
  <si>
    <t>Valores do balanço patrimonial no final do período</t>
  </si>
  <si>
    <t>Valores considerados para fins da regulamentação prudencial no final do período</t>
  </si>
  <si>
    <t>Referência no balanço do conglomerado</t>
  </si>
  <si>
    <t>Ativo</t>
  </si>
  <si>
    <t>Caixa e equivalentes a caixa</t>
  </si>
  <si>
    <t>Aplicações interfinanceiras de liquidez</t>
  </si>
  <si>
    <t>Instrumentos financeiros</t>
  </si>
  <si>
    <t>Operações de crédito</t>
  </si>
  <si>
    <t>Operações de arrendamento mercantil</t>
  </si>
  <si>
    <t>Provisões para perdas esperadas associadas ao risco de crédito</t>
  </si>
  <si>
    <t>Ativos Fiscais</t>
  </si>
  <si>
    <t xml:space="preserve">   Corrente</t>
  </si>
  <si>
    <t xml:space="preserve">   Diferido</t>
  </si>
  <si>
    <t>Investimentos em participações em coligadas e controladas</t>
  </si>
  <si>
    <t xml:space="preserve">    Ágio baseado em expectativa de rentabilidade futura</t>
  </si>
  <si>
    <t xml:space="preserve">    Participação em instituições financeiras</t>
  </si>
  <si>
    <t xml:space="preserve">    Outros</t>
  </si>
  <si>
    <t>Imobilizado de uso</t>
  </si>
  <si>
    <t>Intangível</t>
  </si>
  <si>
    <t>Depreciações e amortizações</t>
  </si>
  <si>
    <t>Provisões para redução ao valor recuperável de ativos</t>
  </si>
  <si>
    <t>Outros créditos</t>
  </si>
  <si>
    <t>Total de ativos</t>
  </si>
  <si>
    <t>Passivo</t>
  </si>
  <si>
    <t>Depósitos e demais instrumentos financeiros</t>
  </si>
  <si>
    <t>Provisões</t>
  </si>
  <si>
    <t>Obrigações fiscais</t>
  </si>
  <si>
    <t xml:space="preserve">   Diferida</t>
  </si>
  <si>
    <t>Outras obrigações</t>
  </si>
  <si>
    <t>Total de passivos</t>
  </si>
  <si>
    <t>Patrimônio líquido</t>
  </si>
  <si>
    <t>Capital social realizado [Capital social]</t>
  </si>
  <si>
    <t xml:space="preserve">    do qual: montante elegível para Capital Principal</t>
  </si>
  <si>
    <t xml:space="preserve">    do qual: montante elegível para Capital Complementar</t>
  </si>
  <si>
    <t>Reserva de lucros</t>
  </si>
  <si>
    <t>Outros resultados abrangentes</t>
  </si>
  <si>
    <t>Lucros ou prejuízos acumulados</t>
  </si>
  <si>
    <t>Ações em tesouraria</t>
  </si>
  <si>
    <t>Patrimônio líquido total</t>
  </si>
  <si>
    <t>Informações qualitativas sobre os requerimentos prudenciais [KM1]</t>
  </si>
  <si>
    <t>d</t>
  </si>
  <si>
    <t>e</t>
  </si>
  <si>
    <t>Sep-22</t>
  </si>
  <si>
    <t>Jun-22</t>
  </si>
  <si>
    <t>Mar-22</t>
  </si>
  <si>
    <t>Dec-21</t>
  </si>
  <si>
    <t>Capital regulamentar - valores</t>
  </si>
  <si>
    <t>Patrimônio de Referência (PR)</t>
  </si>
  <si>
    <t>3b</t>
  </si>
  <si>
    <t>Excesso dos recursos aplicados no ativo permanente</t>
  </si>
  <si>
    <t>3c</t>
  </si>
  <si>
    <t>Destaque do PR</t>
  </si>
  <si>
    <t>Ativos ponderados pelo risco (RWA) - valores</t>
  </si>
  <si>
    <t>RWA total</t>
  </si>
  <si>
    <t>Capital regulamentar como proporção do RWA</t>
  </si>
  <si>
    <t>Índice de Nível 1 (%)</t>
  </si>
  <si>
    <t>Índice de Basileia</t>
  </si>
  <si>
    <t>Adicional de Capital Principal (ACP) como proporção do RWA</t>
  </si>
  <si>
    <t>Adicional de Conservação de Capital Principal - ACPConservação (%)</t>
  </si>
  <si>
    <t>Adicional Contracíclico de Capital Principal - ACPContracíclico (%)</t>
  </si>
  <si>
    <t>Adicional de Importância Sistêmica de Capital Principal - ACPSistêmico (%)</t>
  </si>
  <si>
    <t>ACP total (%)</t>
  </si>
  <si>
    <t>Margem excedente de Capital Principal (%)</t>
  </si>
  <si>
    <t>Razão de Alavancagem (RA)</t>
  </si>
  <si>
    <t>Exposição total</t>
  </si>
  <si>
    <t>RA (%)</t>
  </si>
  <si>
    <t>Indicador Liquidez de Curto Prazo (LCR)</t>
  </si>
  <si>
    <t>Total de Ativos de Alta Liquidez (HQLA)</t>
  </si>
  <si>
    <t>Total de saídas líquidas de caixa</t>
  </si>
  <si>
    <t>LCR (%)</t>
  </si>
  <si>
    <t>Indicador de Liquidez de Longo Prazo (NSFR)</t>
  </si>
  <si>
    <t>Recursos estáveis disponíveis (ASF)</t>
  </si>
  <si>
    <t>Recursos estáveis requeridos (RSF)</t>
  </si>
  <si>
    <t>NSFR (%)</t>
  </si>
  <si>
    <t>Informações quantitativas sobre os requerimentos prudenciais [OV1]</t>
  </si>
  <si>
    <t>RWA</t>
  </si>
  <si>
    <t>Requerimento 
mínimo de PR</t>
  </si>
  <si>
    <t>0</t>
  </si>
  <si>
    <t xml:space="preserve">Risco de Crédito - tratamento mediante abordagem padronizada </t>
  </si>
  <si>
    <t xml:space="preserve">Risco de crédito em sentido estrito </t>
  </si>
  <si>
    <t xml:space="preserve">Risco de crédito de contraparte (CCR) </t>
  </si>
  <si>
    <t xml:space="preserve">Do qual: mediante abordagem padronizada para risco de crédito de contraparte (SA-CCR) </t>
  </si>
  <si>
    <t>7a</t>
  </si>
  <si>
    <t xml:space="preserve">Do qual: mediante uso da abordagem CEM </t>
  </si>
  <si>
    <t xml:space="preserve">Do qual: mediante demais abordagens </t>
  </si>
  <si>
    <t xml:space="preserve">Acréscimo relativo ao ajuste associado à variação do valor dos derivativos em decorrência de variação da qualidade creditícia da contraparte (CVA) 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</si>
  <si>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</si>
  <si>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</si>
  <si>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</si>
  <si>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 xml:space="preserve">Exposições de securitização - requerimento calculado mediante abordagem padronizada </t>
  </si>
  <si>
    <t xml:space="preserve">Valores referentes às exposições não deduzidas no cálculo do PR </t>
  </si>
  <si>
    <t xml:space="preserve">Risco de mercado </t>
  </si>
  <si>
    <t xml:space="preserve">Do qual: requerimento calculado mediante abordagem padronizada (RWAMPAD) </t>
  </si>
  <si>
    <t xml:space="preserve">Do qual: requerimento calculado mediante modelo interno (RWAMINT) </t>
  </si>
  <si>
    <t xml:space="preserve">Risco operacional </t>
  </si>
  <si>
    <t>Total (2+6+10+12+13+14+16+25+20+24)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</si>
  <si>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</si>
  <si>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</si>
  <si>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</si>
  <si>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t>1a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</si>
  <si>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</si>
  <si>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</si>
  <si>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</si>
  <si>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</si>
  <si>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</si>
  <si>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</si>
  <si>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</si>
  <si>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</si>
  <si>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</si>
  <si>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</si>
  <si>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t>Total</t>
  </si>
  <si>
    <t>g</t>
  </si>
  <si>
    <t>Qualidade creditícia das exposições [CR1]</t>
  </si>
  <si>
    <t>Valor bruto</t>
  </si>
  <si>
    <t>Provisões, adiantamentos e rendas a apropriar</t>
  </si>
  <si>
    <t>Valor líquido
(a+b-c)</t>
  </si>
  <si>
    <t>Exposições caracterizadas como operações em curso anormal</t>
  </si>
  <si>
    <t>Em curso
normal</t>
  </si>
  <si>
    <t xml:space="preserve">Concessão de crédito </t>
  </si>
  <si>
    <t xml:space="preserve">Títulos de dívida </t>
  </si>
  <si>
    <t>2a</t>
  </si>
  <si>
    <t xml:space="preserve">dos quais: títulos soberanos nacionais </t>
  </si>
  <si>
    <t>2b</t>
  </si>
  <si>
    <t xml:space="preserve">dos quais: outros títulos </t>
  </si>
  <si>
    <t xml:space="preserve">Operações não contabilizadas no balanço patrimonial </t>
  </si>
  <si>
    <t>Total (1+2+3)</t>
  </si>
  <si>
    <t>Qualidade creditícia das exposições [CR2]</t>
  </si>
  <si>
    <t xml:space="preserve">Valor das operações em curso anormal no final do período anterior </t>
  </si>
  <si>
    <t xml:space="preserve">Valor das operações que passaram a ser classificadas como em curso anormal no período corrente </t>
  </si>
  <si>
    <t xml:space="preserve">Valor das operações reclassificadas para curso normal </t>
  </si>
  <si>
    <t xml:space="preserve">Valor da baixa contábil por prejuízo </t>
  </si>
  <si>
    <t>Outros ajustes</t>
  </si>
  <si>
    <t>Valor das operações em curso anormal no final do período corrente (1+2+3+4+5)</t>
  </si>
  <si>
    <t>Total de Exposições por região geográfica, setor econômico e prazo remanescente de vencimento</t>
  </si>
  <si>
    <t>Valores em R$ mil</t>
  </si>
  <si>
    <t>Exposições por região geográfica</t>
  </si>
  <si>
    <t>Centro-Oeste</t>
  </si>
  <si>
    <t>Nordeste</t>
  </si>
  <si>
    <t>Norte</t>
  </si>
  <si>
    <t>Sudeste</t>
  </si>
  <si>
    <t>Sul</t>
  </si>
  <si>
    <t>Território Nacional</t>
  </si>
  <si>
    <t>Exposições por setor econômico</t>
  </si>
  <si>
    <t>Pessoa Física</t>
  </si>
  <si>
    <t>Pessoa Jurídica</t>
  </si>
  <si>
    <t>Indústria</t>
  </si>
  <si>
    <t>Comércio</t>
  </si>
  <si>
    <t>Serviços</t>
  </si>
  <si>
    <t xml:space="preserve">Titulos Soberanos </t>
  </si>
  <si>
    <t>Exposições por prazo remanescente de vencimento</t>
  </si>
  <si>
    <t>Até 6 meses</t>
  </si>
  <si>
    <t>De 6 meses a 1 ano</t>
  </si>
  <si>
    <t>Acima de 1 ano</t>
  </si>
  <si>
    <t>Exposições em Território Nacional correspondem a Títulos Soberanos</t>
  </si>
  <si>
    <t>Total de Exposições em curso anormal por região geográfica e setor econômico</t>
  </si>
  <si>
    <t>Carteira Curso Anormal</t>
  </si>
  <si>
    <t>Provisão</t>
  </si>
  <si>
    <t>Baixas/Prejuízos</t>
  </si>
  <si>
    <t>Operações em curso anormal classificadas conforme Resolução nº 54, Art. 11 § 3º</t>
  </si>
  <si>
    <t>Total de Exposições segmentadas por faixas de atraso</t>
  </si>
  <si>
    <t>Exposições por faixa de atraso</t>
  </si>
  <si>
    <t>Menor que 30 dias</t>
  </si>
  <si>
    <t>de 31 a 90 dias</t>
  </si>
  <si>
    <t>de 91 a 180 dias</t>
  </si>
  <si>
    <t>de 181 a 365 dias</t>
  </si>
  <si>
    <t>Total de Exposições reestruturadas, em curso anormal e demais</t>
  </si>
  <si>
    <t>Operações Reestruturadas</t>
  </si>
  <si>
    <t>Em curso anormal</t>
  </si>
  <si>
    <t>Demais</t>
  </si>
  <si>
    <t>Operações reestruturadas classificadas conforme Resolução nº 4557, Art. 21 § 1º Inc. II</t>
  </si>
  <si>
    <t>Percentual das dez e cem maiores exposições em relação ao total</t>
  </si>
  <si>
    <t>Valores em %</t>
  </si>
  <si>
    <t>Concentração de Exposições</t>
  </si>
  <si>
    <t>10 maiores devedores</t>
  </si>
  <si>
    <t>100 maiores devedores</t>
  </si>
  <si>
    <t>76.84%</t>
  </si>
  <si>
    <t>Inclui exposições a títulos de dívidas soberanos</t>
  </si>
  <si>
    <t>Informações quantitativas sobre o IRRBB [IRRBB1]</t>
  </si>
  <si>
    <t>ΔEVE</t>
  </si>
  <si>
    <t>ΔNII</t>
  </si>
  <si>
    <t>Cenário paralelo de alta</t>
  </si>
  <si>
    <t>Cenário paralelo de baixa</t>
  </si>
  <si>
    <t>Cenário de aumento das taxas de juros de curto prazo</t>
  </si>
  <si>
    <t>Cenário de redução das taxas de juros de curto prazo</t>
  </si>
  <si>
    <t>Cenário steepener</t>
  </si>
  <si>
    <t>Cenário flattener</t>
  </si>
  <si>
    <t>Variação máxima</t>
  </si>
  <si>
    <t>Data-base</t>
  </si>
  <si>
    <t>Nível I do Patrimônio de Referência (PR)</t>
  </si>
  <si>
    <t>Informações quantitativas sobre a exposição associada a instrumentos financeiros derivativos</t>
  </si>
  <si>
    <t>Derivativos: Carteira de Negociação e Carteira Bancária</t>
  </si>
  <si>
    <t>Em R$ milhões</t>
  </si>
  <si>
    <t>Com contraparte central</t>
  </si>
  <si>
    <t>Sem contraparte central</t>
  </si>
  <si>
    <t>Brasil</t>
  </si>
  <si>
    <t>Exterior</t>
  </si>
  <si>
    <t>Fatores de Risco</t>
  </si>
  <si>
    <t>Comprada</t>
  </si>
  <si>
    <t>Vendida</t>
  </si>
  <si>
    <t>Taxas de Juros</t>
  </si>
  <si>
    <t>Taxas de Câmbio</t>
  </si>
  <si>
    <t>Ações</t>
  </si>
  <si>
    <t>Commodities</t>
  </si>
  <si>
    <t>Table Name</t>
  </si>
  <si>
    <t>Reference Date</t>
  </si>
  <si>
    <t>Table Description</t>
  </si>
  <si>
    <t>Topic</t>
  </si>
  <si>
    <t>Line</t>
  </si>
  <si>
    <t>Line Description</t>
  </si>
  <si>
    <t>A</t>
  </si>
  <si>
    <t>B</t>
  </si>
  <si>
    <t>C</t>
  </si>
  <si>
    <t>D</t>
  </si>
  <si>
    <t>E</t>
  </si>
  <si>
    <t>F</t>
  </si>
  <si>
    <t>G</t>
  </si>
  <si>
    <t>H</t>
  </si>
  <si>
    <t>C_1</t>
  </si>
  <si>
    <t>C_2</t>
  </si>
  <si>
    <t>Comments</t>
  </si>
  <si>
    <t>CCA</t>
  </si>
  <si>
    <t>2022-1</t>
  </si>
  <si>
    <t/>
  </si>
  <si>
    <t>CC1</t>
  </si>
  <si>
    <t>Composição do Patrimônio de Referência (PR)</t>
  </si>
  <si>
    <t>Instrumentos autorizados a compor o Capital Complementar antes da entrada em vigor da Resolução nº 4.192, de 2013</t>
  </si>
  <si>
    <t>da qual: instrumentos emitidos por subsidiárias antes da entrada em vigor da Resolução nº 4.192, de 2013</t>
  </si>
  <si>
    <t>47</t>
  </si>
  <si>
    <t>Instrumentos autorizados a compor o Nível II antes da entrada em vigor da Resolução nº 4.192, de 2013</t>
  </si>
  <si>
    <t>49</t>
  </si>
  <si>
    <t>Instrumentos autorizados a compor o PR antes da entrada em vigor da Resolução nº 4.192, de 2013 (aplicável entre 1º de janeiro de 2018 e 1º de janeiro de 2022)</t>
  </si>
  <si>
    <t>82</t>
  </si>
  <si>
    <t>Limite atual para os instrumentos autorizados a compor o Capital Complementar antes da entrada em vigor da Resolução nº 4.192, de 2013</t>
  </si>
  <si>
    <t>83</t>
  </si>
  <si>
    <t>Valor excluído do Capital Complementar devido ao limite da linha 82</t>
  </si>
  <si>
    <t>84</t>
  </si>
  <si>
    <t>Limite atual para os instrumentos autorizados a compor o Nível II antes da entrada em vigor da Resolução nº 4.192, de 2013</t>
  </si>
  <si>
    <t>85</t>
  </si>
  <si>
    <t>Valor excluído do Nível II devido ao limite da linha 84</t>
  </si>
  <si>
    <t>CC2</t>
  </si>
  <si>
    <t>Ativos</t>
  </si>
  <si>
    <t>Ativos Fiscais Diferidos</t>
  </si>
  <si>
    <t>Passivos</t>
  </si>
  <si>
    <t>Obrigações fiscais diferidas</t>
  </si>
  <si>
    <t>Capital social realizado</t>
  </si>
  <si>
    <t>do qual: montante elegível para Capital Principal</t>
  </si>
  <si>
    <t>do qual: montante elegível para Capital Complementar</t>
  </si>
  <si>
    <t>OV1</t>
  </si>
  <si>
    <t>Informações quantitativas sobre os requerimentos prudenciais</t>
  </si>
  <si>
    <t>MR1</t>
  </si>
  <si>
    <t>Abordagem padronizada - fatores de risco associados ao risco de mercado</t>
  </si>
  <si>
    <t>Fatores de risco</t>
  </si>
  <si>
    <t xml:space="preserve">Taxas de juros prefixada denominadas em Real (RWAJUR1) </t>
  </si>
  <si>
    <t xml:space="preserve">Taxas dos cupons de moeda estrangeira (RWAJUR2) </t>
  </si>
  <si>
    <t xml:space="preserve">Taxas dos cupons de índices de preço (RWAJUR3) </t>
  </si>
  <si>
    <t xml:space="preserve">Taxas dos cupons de taxas de juros (RWAJUR4) </t>
  </si>
  <si>
    <t xml:space="preserve">Preços de ações (RWAACS) </t>
  </si>
  <si>
    <t xml:space="preserve">Taxas de câmbio (RWACAM) </t>
  </si>
  <si>
    <t xml:space="preserve">Preços de mercadorias (commodities) (RWACOM) </t>
  </si>
  <si>
    <t>KM1</t>
  </si>
  <si>
    <t>CR1</t>
  </si>
  <si>
    <t>Qualidade creditícia das exposições</t>
  </si>
  <si>
    <t>CR2</t>
  </si>
  <si>
    <t>Name</t>
  </si>
  <si>
    <t>Description</t>
  </si>
  <si>
    <t>Value</t>
  </si>
  <si>
    <t>2022-8</t>
  </si>
  <si>
    <t>Aplicações Interfinanceiras de Liquidez</t>
  </si>
  <si>
    <t>Ágio baseado em expectativa de rentabilidade futura</t>
  </si>
  <si>
    <t>Participação em Instituições Financeiras</t>
  </si>
  <si>
    <t>Outros</t>
  </si>
  <si>
    <t>Corrente</t>
  </si>
  <si>
    <t>Obrigações Fiscais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</si>
</sst>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-d"/>
    <numFmt numFmtId="165" formatCode="mm/dd/yy"/>
    <numFmt numFmtId="166" formatCode="#,##0.00;(#,##0.00)"/>
    <numFmt numFmtId="167" formatCode="#,##0;(#,##0)"/>
    <numFmt numFmtId="168" formatCode="mmm-yy"/>
    <numFmt numFmtId="169" formatCode="mmm&quot;-&quot;yy"/>
  </numFmts>
  <fonts count="39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b/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sz val="10.0"/>
      <color rgb="FF434343"/>
      <name val="Arial"/>
    </font>
    <font>
      <sz val="10.0"/>
      <color rgb="FFFFFFFF"/>
      <name val="Arial"/>
    </font>
    <font/>
    <font>
      <b/>
      <color rgb="FF4C0677"/>
      <name val="Arial"/>
    </font>
    <font>
      <color rgb="FF434343"/>
      <name val="Arial"/>
    </font>
    <font>
      <color theme="1"/>
      <name val="Arial"/>
      <scheme val="minor"/>
    </font>
    <font>
      <b/>
      <color rgb="FF434343"/>
      <name val="Arial"/>
      <scheme val="minor"/>
    </font>
    <font>
      <sz val="9.0"/>
      <color rgb="FF434343"/>
      <name val="Arial"/>
      <scheme val="minor"/>
    </font>
    <font>
      <color theme="0"/>
      <name val="Arial"/>
    </font>
    <font>
      <sz val="9.0"/>
      <color rgb="FFFFFFFF"/>
      <name val="Arial"/>
      <scheme val="minor"/>
    </font>
    <font>
      <b/>
      <color rgb="FF9900FF"/>
      <name val="Arial"/>
    </font>
    <font>
      <color rgb="FF434343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color rgb="FF434343"/>
      <name val="Arial"/>
    </font>
    <font>
      <b/>
      <color theme="0"/>
      <name val="Arial"/>
    </font>
    <font>
      <b/>
      <sz val="10.0"/>
      <color rgb="FF434343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theme="1"/>
      <name val="Roboto"/>
    </font>
    <font>
      <b/>
      <color theme="1"/>
      <name val="Arial"/>
      <scheme val="minor"/>
    </font>
    <font>
      <color theme="1"/>
      <name val="Roboto"/>
    </font>
    <font>
      <b/>
      <sz val="9.0"/>
      <color rgb="FFFFFFFF"/>
      <name val="Arial"/>
    </font>
    <font>
      <b/>
      <sz val="9.0"/>
      <color rgb="FF4C0677"/>
      <name val="Arial"/>
      <scheme val="minor"/>
    </font>
    <font>
      <sz val="10.0"/>
      <color rgb="FF434343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Calibri"/>
    </font>
    <font>
      <color rgb="FFFF9900"/>
      <name val="Arial"/>
    </font>
    <font>
      <color rgb="FF000000"/>
      <name val="Arial"/>
    </font>
    <font>
      <b/>
      <color rgb="FF000000"/>
      <name val="Arial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7">
    <border/>
    <border>
      <bottom style="hair">
        <color rgb="FF999999"/>
      </bottom>
    </border>
    <border>
      <right style="thin">
        <color rgb="FFB7B7B7"/>
      </right>
      <bottom style="hair">
        <color rgb="FF999999"/>
      </bottom>
    </border>
    <border>
      <left style="thin">
        <color rgb="FFB7B7B7"/>
      </left>
      <right style="thin">
        <color rgb="FFB7B7B7"/>
      </right>
      <bottom style="hair">
        <color rgb="FF999999"/>
      </bottom>
    </border>
    <border>
      <left style="thin">
        <color rgb="FFB7B7B7"/>
      </left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thin">
        <color rgb="FFB7B7B7"/>
      </right>
      <top style="hair">
        <color rgb="FF999999"/>
      </top>
      <bottom style="hair">
        <color rgb="FF999999"/>
      </bottom>
    </border>
    <border>
      <left style="thin">
        <color rgb="FFB7B7B7"/>
      </left>
      <right style="thin">
        <color rgb="FFB7B7B7"/>
      </right>
      <top style="hair">
        <color rgb="FF999999"/>
      </top>
      <bottom style="hair">
        <color rgb="FF999999"/>
      </bottom>
    </border>
    <border>
      <left style="thin">
        <color rgb="FFB7B7B7"/>
      </left>
      <top style="hair">
        <color rgb="FF999999"/>
      </top>
      <bottom style="hair">
        <color rgb="FF999999"/>
      </bottom>
    </border>
    <border>
      <top style="hair">
        <color rgb="FF999999"/>
      </top>
    </border>
    <border>
      <right style="thin">
        <color rgb="FFB7B7B7"/>
      </right>
      <top style="hair">
        <color rgb="FF999999"/>
      </top>
    </border>
    <border>
      <bottom style="thin">
        <color rgb="FFFFFFFF"/>
      </bottom>
    </border>
    <border>
      <top style="thin">
        <color rgb="FF666666"/>
      </top>
    </border>
    <border>
      <top style="thin">
        <color rgb="FF999999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99999"/>
      </right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2" numFmtId="164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center"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2" numFmtId="164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shrinkToFit="0" wrapText="1"/>
    </xf>
    <xf borderId="0" fillId="0" fontId="6" numFmtId="49" xfId="0" applyAlignment="1" applyFont="1" applyNumberFormat="1">
      <alignment readingOrder="0" shrinkToFit="0" wrapText="1"/>
    </xf>
    <xf quotePrefix="1" borderId="1" fillId="0" fontId="7" numFmtId="49" xfId="0" applyAlignment="1" applyBorder="1" applyFont="1" applyNumberFormat="1">
      <alignment shrinkToFit="0" vertical="center" wrapText="1"/>
    </xf>
    <xf borderId="2" fillId="0" fontId="7" numFmtId="49" xfId="0" applyAlignment="1" applyBorder="1" applyFont="1" applyNumberFormat="1">
      <alignment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quotePrefix="1" borderId="5" fillId="0" fontId="7" numFmtId="49" xfId="0" applyAlignment="1" applyBorder="1" applyFont="1" applyNumberFormat="1">
      <alignment shrinkToFit="0" vertical="center" wrapText="1"/>
    </xf>
    <xf borderId="6" fillId="0" fontId="7" numFmtId="49" xfId="0" applyAlignment="1" applyBorder="1" applyFont="1" applyNumberFormat="1">
      <alignment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7" fillId="0" fontId="7" numFmtId="3" xfId="0" applyAlignment="1" applyBorder="1" applyFont="1" applyNumberFormat="1">
      <alignment horizontal="left" readingOrder="0" shrinkToFit="0" vertical="center" wrapText="1"/>
    </xf>
    <xf borderId="8" fillId="0" fontId="7" numFmtId="3" xfId="0" applyAlignment="1" applyBorder="1" applyFont="1" applyNumberFormat="1">
      <alignment horizontal="left" readingOrder="0" shrinkToFit="0" vertical="center" wrapText="1"/>
    </xf>
    <xf borderId="8" fillId="0" fontId="7" numFmtId="165" xfId="0" applyAlignment="1" applyBorder="1" applyFont="1" applyNumberFormat="1">
      <alignment horizontal="left" readingOrder="0" shrinkToFit="0" vertical="center" wrapText="1"/>
    </xf>
    <xf borderId="5" fillId="0" fontId="7" numFmtId="49" xfId="0" applyAlignment="1" applyBorder="1" applyFont="1" applyNumberFormat="1">
      <alignment vertical="center"/>
    </xf>
    <xf borderId="5" fillId="0" fontId="7" numFmtId="49" xfId="0" applyAlignment="1" applyBorder="1" applyFont="1" applyNumberFormat="1">
      <alignment shrinkToFit="0" vertical="center" wrapText="1"/>
    </xf>
    <xf quotePrefix="1" borderId="9" fillId="0" fontId="7" numFmtId="49" xfId="0" applyAlignment="1" applyBorder="1" applyFont="1" applyNumberFormat="1">
      <alignment shrinkToFit="0" vertical="center" wrapText="1"/>
    </xf>
    <xf borderId="10" fillId="0" fontId="7" numFmtId="49" xfId="0" applyAlignment="1" applyBorder="1" applyFont="1" applyNumberFormat="1">
      <alignment shrinkToFit="0" vertical="center" wrapText="1"/>
    </xf>
    <xf borderId="0" fillId="2" fontId="8" numFmtId="49" xfId="0" applyAlignment="1" applyFont="1" applyNumberFormat="1">
      <alignment horizontal="left" readingOrder="0" shrinkToFit="0" vertical="center" wrapText="0"/>
    </xf>
    <xf borderId="11" fillId="2" fontId="4" numFmtId="49" xfId="0" applyAlignment="1" applyBorder="1" applyFont="1" applyNumberFormat="1">
      <alignment horizontal="center" readingOrder="0" shrinkToFit="0" vertical="center" wrapText="0"/>
    </xf>
    <xf borderId="11" fillId="0" fontId="9" numFmtId="0" xfId="0" applyBorder="1" applyFont="1"/>
    <xf borderId="0" fillId="2" fontId="6" numFmtId="49" xfId="0" applyAlignment="1" applyFont="1" applyNumberFormat="1">
      <alignment readingOrder="0" shrinkToFit="0" wrapText="1"/>
    </xf>
    <xf borderId="0" fillId="0" fontId="6" numFmtId="49" xfId="0" applyFont="1" applyNumberFormat="1"/>
    <xf borderId="0" fillId="0" fontId="10" numFmtId="49" xfId="0" applyAlignment="1" applyFont="1" applyNumberFormat="1">
      <alignment horizontal="left" readingOrder="0"/>
    </xf>
    <xf borderId="0" fillId="0" fontId="6" numFmtId="166" xfId="0" applyAlignment="1" applyFont="1" applyNumberFormat="1">
      <alignment horizontal="right"/>
    </xf>
    <xf borderId="0" fillId="0" fontId="6" numFmtId="4" xfId="0" applyAlignment="1" applyFont="1" applyNumberFormat="1">
      <alignment horizontal="right"/>
    </xf>
    <xf quotePrefix="1" borderId="0" fillId="0" fontId="11" numFmtId="49" xfId="0" applyAlignment="1" applyFont="1" applyNumberFormat="1">
      <alignment shrinkToFit="0" vertical="center" wrapText="1"/>
    </xf>
    <xf borderId="0" fillId="0" fontId="11" numFmtId="49" xfId="0" applyAlignment="1" applyFont="1" applyNumberFormat="1">
      <alignment shrinkToFit="0" vertical="center" wrapText="1"/>
    </xf>
    <xf borderId="0" fillId="0" fontId="11" numFmtId="167" xfId="0" applyAlignment="1" applyFont="1" applyNumberFormat="1">
      <alignment horizontal="left" readingOrder="0" vertical="center"/>
    </xf>
    <xf borderId="0" fillId="0" fontId="11" numFmtId="167" xfId="0" applyAlignment="1" applyFont="1" applyNumberFormat="1">
      <alignment horizontal="center" readingOrder="0" vertical="center"/>
    </xf>
    <xf borderId="12" fillId="0" fontId="10" numFmtId="49" xfId="0" applyAlignment="1" applyBorder="1" applyFont="1" applyNumberFormat="1">
      <alignment horizontal="left" readingOrder="0"/>
    </xf>
    <xf borderId="12" fillId="0" fontId="6" numFmtId="49" xfId="0" applyAlignment="1" applyBorder="1" applyFont="1" applyNumberFormat="1">
      <alignment shrinkToFit="0" wrapText="1"/>
    </xf>
    <xf borderId="12" fillId="0" fontId="6" numFmtId="166" xfId="0" applyAlignment="1" applyBorder="1" applyFont="1" applyNumberFormat="1">
      <alignment horizontal="right"/>
    </xf>
    <xf borderId="12" fillId="0" fontId="6" numFmtId="4" xfId="0" applyAlignment="1" applyBorder="1" applyFont="1" applyNumberFormat="1">
      <alignment horizontal="center"/>
    </xf>
    <xf borderId="0" fillId="0" fontId="11" numFmtId="49" xfId="0" applyAlignment="1" applyFont="1" applyNumberFormat="1">
      <alignment vertical="center"/>
    </xf>
    <xf borderId="12" fillId="0" fontId="6" numFmtId="4" xfId="0" applyBorder="1" applyFont="1" applyNumberFormat="1"/>
    <xf borderId="12" fillId="0" fontId="11" numFmtId="49" xfId="0" applyAlignment="1" applyBorder="1" applyFont="1" applyNumberFormat="1">
      <alignment shrinkToFit="0" wrapText="1"/>
    </xf>
    <xf borderId="12" fillId="0" fontId="11" numFmtId="10" xfId="0" applyAlignment="1" applyBorder="1" applyFont="1" applyNumberFormat="1">
      <alignment horizontal="right"/>
    </xf>
    <xf borderId="12" fillId="0" fontId="11" numFmtId="49" xfId="0" applyBorder="1" applyFont="1" applyNumberFormat="1"/>
    <xf borderId="0" fillId="0" fontId="11" numFmtId="10" xfId="0" applyAlignment="1" applyFont="1" applyNumberFormat="1">
      <alignment horizontal="left" readingOrder="0" vertical="center"/>
    </xf>
    <xf borderId="0" fillId="0" fontId="7" numFmtId="49" xfId="0" applyAlignment="1" applyFont="1" applyNumberFormat="1">
      <alignment shrinkToFit="0" vertical="center" wrapText="1"/>
    </xf>
    <xf borderId="0" fillId="0" fontId="12" numFmtId="49" xfId="0" applyAlignment="1" applyFont="1" applyNumberFormat="1">
      <alignment shrinkToFit="0" vertical="center" wrapText="1"/>
    </xf>
    <xf borderId="0" fillId="0" fontId="12" numFmtId="49" xfId="0" applyAlignment="1" applyFont="1" applyNumberFormat="1">
      <alignment horizontal="left" shrinkToFit="0" vertical="top" wrapText="0"/>
    </xf>
    <xf borderId="0" fillId="0" fontId="12" numFmtId="49" xfId="0" applyAlignment="1" applyFont="1" applyNumberFormat="1">
      <alignment shrinkToFit="0" vertical="top" wrapText="1"/>
    </xf>
    <xf borderId="0" fillId="0" fontId="13" numFmtId="49" xfId="0" applyAlignment="1" applyFont="1" applyNumberFormat="1">
      <alignment horizontal="left" readingOrder="0" shrinkToFit="0" vertical="center" wrapText="0"/>
    </xf>
    <xf borderId="13" fillId="0" fontId="14" numFmtId="49" xfId="0" applyAlignment="1" applyBorder="1" applyFont="1" applyNumberFormat="1">
      <alignment horizontal="center" shrinkToFit="0" vertical="center" wrapText="1"/>
    </xf>
    <xf borderId="13" fillId="0" fontId="14" numFmtId="49" xfId="0" applyAlignment="1" applyBorder="1" applyFont="1" applyNumberFormat="1">
      <alignment shrinkToFit="0" vertical="center" wrapText="1"/>
    </xf>
    <xf borderId="13" fillId="0" fontId="14" numFmtId="0" xfId="0" applyBorder="1" applyFont="1"/>
    <xf borderId="0" fillId="2" fontId="15" numFmtId="49" xfId="0" applyAlignment="1" applyFont="1" applyNumberFormat="1">
      <alignment readingOrder="0" shrinkToFit="0" wrapText="0"/>
    </xf>
    <xf borderId="0" fillId="2" fontId="15" numFmtId="49" xfId="0" applyAlignment="1" applyFont="1" applyNumberFormat="1">
      <alignment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2" fontId="16" numFmtId="49" xfId="0" applyAlignment="1" applyFont="1" applyNumberFormat="1">
      <alignment horizontal="center" readingOrder="0" shrinkToFit="0" vertical="center" wrapText="1"/>
    </xf>
    <xf borderId="0" fillId="0" fontId="17" numFmtId="49" xfId="0" applyAlignment="1" applyFont="1" applyNumberFormat="1">
      <alignment horizontal="left" readingOrder="0"/>
    </xf>
    <xf borderId="0" fillId="0" fontId="6" numFmtId="166" xfId="0" applyAlignment="1" applyFont="1" applyNumberFormat="1">
      <alignment horizontal="left" readingOrder="0" vertical="center"/>
    </xf>
    <xf borderId="0" fillId="0" fontId="12" numFmtId="166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0" fontId="18" numFmtId="167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readingOrder="0" vertical="bottom"/>
    </xf>
    <xf borderId="0" fillId="0" fontId="18" numFmtId="167" xfId="0" applyAlignment="1" applyFont="1" applyNumberFormat="1">
      <alignment horizontal="center" readingOrder="0" shrinkToFit="0" vertical="center" wrapText="1"/>
    </xf>
    <xf borderId="0" fillId="0" fontId="12" numFmtId="167" xfId="0" applyAlignment="1" applyFont="1" applyNumberFormat="1">
      <alignment horizontal="left" readingOrder="0" shrinkToFit="0" vertical="center" wrapText="1"/>
    </xf>
    <xf borderId="13" fillId="0" fontId="10" numFmtId="49" xfId="0" applyAlignment="1" applyBorder="1" applyFont="1" applyNumberFormat="1">
      <alignment horizontal="left" readingOrder="0"/>
    </xf>
    <xf borderId="13" fillId="0" fontId="11" numFmtId="49" xfId="0" applyAlignment="1" applyBorder="1" applyFont="1" applyNumberFormat="1">
      <alignment readingOrder="0" shrinkToFit="0" wrapText="1"/>
    </xf>
    <xf borderId="13" fillId="0" fontId="11" numFmtId="167" xfId="0" applyAlignment="1" applyBorder="1" applyFont="1" applyNumberFormat="1">
      <alignment horizontal="left" readingOrder="0" vertical="center"/>
    </xf>
    <xf borderId="13" fillId="0" fontId="18" numFmtId="167" xfId="0" applyAlignment="1" applyBorder="1" applyFont="1" applyNumberFormat="1">
      <alignment horizontal="left" readingOrder="0" shrinkToFit="0" vertical="center" wrapText="1"/>
    </xf>
    <xf quotePrefix="1" borderId="0" fillId="0" fontId="11" numFmtId="49" xfId="0" applyAlignment="1" applyFont="1" applyNumberFormat="1">
      <alignment horizontal="center" readingOrder="0" shrinkToFit="0" wrapText="1"/>
    </xf>
    <xf borderId="0" fillId="0" fontId="12" numFmtId="49" xfId="0" applyAlignment="1" applyFont="1" applyNumberFormat="1">
      <alignment horizontal="center" shrinkToFit="0" vertical="center" wrapText="1"/>
    </xf>
    <xf borderId="0" fillId="2" fontId="19" numFmtId="49" xfId="0" applyAlignment="1" applyFont="1" applyNumberFormat="1">
      <alignment horizontal="center" readingOrder="0" shrinkToFit="0" vertical="center" wrapText="1"/>
    </xf>
    <xf borderId="13" fillId="0" fontId="6" numFmtId="49" xfId="0" applyAlignment="1" applyBorder="1" applyFont="1" applyNumberFormat="1">
      <alignment readingOrder="0" shrinkToFit="0" wrapText="1"/>
    </xf>
    <xf borderId="13" fillId="0" fontId="6" numFmtId="167" xfId="0" applyAlignment="1" applyBorder="1" applyFont="1" applyNumberFormat="1">
      <alignment horizontal="left" readingOrder="0" vertical="center"/>
    </xf>
    <xf borderId="13" fillId="0" fontId="12" numFmtId="167" xfId="0" applyAlignment="1" applyBorder="1" applyFont="1" applyNumberFormat="1">
      <alignment horizontal="left" readingOrder="0" shrinkToFit="0" vertical="center" wrapText="1"/>
    </xf>
    <xf borderId="0" fillId="0" fontId="18" numFmtId="10" xfId="0" applyAlignment="1" applyFont="1" applyNumberFormat="1">
      <alignment horizontal="left" readingOrder="0" shrinkToFit="0" vertical="center" wrapText="1"/>
    </xf>
    <xf borderId="0" fillId="0" fontId="14" numFmtId="49" xfId="0" applyAlignment="1" applyFont="1" applyNumberFormat="1">
      <alignment horizontal="center" shrinkToFit="0" vertical="center" wrapText="1"/>
    </xf>
    <xf borderId="0" fillId="0" fontId="14" numFmtId="49" xfId="0" applyAlignment="1" applyFont="1" applyNumberFormat="1">
      <alignment shrinkToFit="0" vertical="center" wrapText="1"/>
    </xf>
    <xf borderId="0" fillId="0" fontId="14" numFmtId="0" xfId="0" applyFont="1"/>
    <xf borderId="11" fillId="2" fontId="2" numFmtId="49" xfId="0" applyAlignment="1" applyBorder="1" applyFont="1" applyNumberFormat="1">
      <alignment horizontal="center" readingOrder="0" shrinkToFit="0" vertical="center" wrapText="0"/>
    </xf>
    <xf borderId="0" fillId="2" fontId="20" numFmtId="164" xfId="0" applyAlignment="1" applyFont="1" applyNumberFormat="1">
      <alignment horizontal="center" readingOrder="0"/>
    </xf>
    <xf borderId="0" fillId="0" fontId="10" numFmtId="167" xfId="0" applyAlignment="1" applyFont="1" applyNumberFormat="1">
      <alignment horizontal="left" readingOrder="0" vertical="center"/>
    </xf>
    <xf borderId="0" fillId="0" fontId="11" numFmtId="49" xfId="0" applyAlignment="1" applyFont="1" applyNumberFormat="1">
      <alignment readingOrder="0" shrinkToFit="0" vertical="center" wrapText="1"/>
    </xf>
    <xf borderId="0" fillId="0" fontId="11" numFmtId="167" xfId="0" applyAlignment="1" applyFont="1" applyNumberFormat="1">
      <alignment horizontal="left" readingOrder="0" shrinkToFit="0" vertical="center" wrapText="1"/>
    </xf>
    <xf borderId="12" fillId="0" fontId="11" numFmtId="49" xfId="0" applyAlignment="1" applyBorder="1" applyFont="1" applyNumberFormat="1">
      <alignment readingOrder="0" shrinkToFit="0" wrapText="1"/>
    </xf>
    <xf borderId="12" fillId="0" fontId="10" numFmtId="167" xfId="0" applyAlignment="1" applyBorder="1" applyFont="1" applyNumberFormat="1">
      <alignment horizontal="left" readingOrder="0" vertical="center"/>
    </xf>
    <xf borderId="0" fillId="0" fontId="12" numFmtId="49" xfId="0" applyAlignment="1" applyFont="1" applyNumberFormat="1">
      <alignment readingOrder="0" shrinkToFit="0" vertical="center" wrapText="0"/>
    </xf>
    <xf borderId="0" fillId="0" fontId="18" numFmtId="49" xfId="0" applyAlignment="1" applyFont="1" applyNumberFormat="1">
      <alignment readingOrder="0" shrinkToFit="0" vertical="center" wrapText="1"/>
    </xf>
    <xf borderId="13" fillId="0" fontId="11" numFmtId="49" xfId="0" applyAlignment="1" applyBorder="1" applyFont="1" applyNumberFormat="1">
      <alignment horizontal="left" readingOrder="0"/>
    </xf>
    <xf borderId="13" fillId="0" fontId="21" numFmtId="49" xfId="0" applyAlignment="1" applyBorder="1" applyFont="1" applyNumberFormat="1">
      <alignment horizontal="left" readingOrder="0"/>
    </xf>
    <xf borderId="13" fillId="0" fontId="21" numFmtId="167" xfId="0" applyAlignment="1" applyBorder="1" applyFont="1" applyNumberFormat="1">
      <alignment horizontal="left" readingOrder="0" vertical="center"/>
    </xf>
    <xf borderId="11" fillId="2" fontId="5" numFmtId="49" xfId="0" applyAlignment="1" applyBorder="1" applyFont="1" applyNumberFormat="1">
      <alignment horizontal="center" readingOrder="0" shrinkToFit="0" vertical="center" wrapText="0"/>
    </xf>
    <xf borderId="0" fillId="0" fontId="21" numFmtId="167" xfId="0" applyAlignment="1" applyFont="1" applyNumberFormat="1">
      <alignment horizontal="right" readingOrder="0" vertical="center"/>
    </xf>
    <xf borderId="0" fillId="0" fontId="11" numFmtId="167" xfId="0" applyAlignment="1" applyFont="1" applyNumberFormat="1">
      <alignment horizontal="right" readingOrder="0" vertical="center"/>
    </xf>
    <xf borderId="14" fillId="0" fontId="21" numFmtId="167" xfId="0" applyAlignment="1" applyBorder="1" applyFont="1" applyNumberFormat="1">
      <alignment horizontal="right" readingOrder="0" vertical="center"/>
    </xf>
    <xf borderId="13" fillId="0" fontId="21" numFmtId="167" xfId="0" applyAlignment="1" applyBorder="1" applyFont="1" applyNumberFormat="1">
      <alignment horizontal="right" readingOrder="0" vertical="center"/>
    </xf>
    <xf borderId="13" fillId="0" fontId="14" numFmtId="49" xfId="0" applyAlignment="1" applyBorder="1" applyFont="1" applyNumberFormat="1">
      <alignment horizontal="left" readingOrder="0" shrinkToFit="0" vertical="center" wrapText="1"/>
    </xf>
    <xf borderId="13" fillId="0" fontId="9" numFmtId="0" xfId="0" applyBorder="1" applyFont="1"/>
    <xf borderId="0" fillId="0" fontId="14" numFmtId="49" xfId="0" applyAlignment="1" applyFont="1" applyNumberFormat="1">
      <alignment horizontal="left" readingOrder="0" shrinkToFit="0" vertical="center" wrapText="1"/>
    </xf>
    <xf borderId="0" fillId="2" fontId="22" numFmtId="164" xfId="0" applyAlignment="1" applyFont="1" applyNumberFormat="1">
      <alignment horizontal="center" readingOrder="0"/>
    </xf>
    <xf borderId="0" fillId="2" fontId="20" numFmtId="168" xfId="0" applyAlignment="1" applyFont="1" applyNumberFormat="1">
      <alignment horizontal="center" readingOrder="0"/>
    </xf>
    <xf borderId="0" fillId="0" fontId="21" numFmtId="41" xfId="0" applyAlignment="1" applyFont="1" applyNumberFormat="1">
      <alignment horizontal="center" readingOrder="0" vertical="center"/>
    </xf>
    <xf borderId="0" fillId="0" fontId="11" numFmtId="41" xfId="0" applyAlignment="1" applyFont="1" applyNumberFormat="1">
      <alignment horizontal="center" readingOrder="0" vertical="center"/>
    </xf>
    <xf borderId="13" fillId="0" fontId="21" numFmtId="41" xfId="0" applyAlignment="1" applyBorder="1" applyFont="1" applyNumberFormat="1">
      <alignment horizontal="center" readingOrder="0" vertical="center"/>
    </xf>
    <xf borderId="0" fillId="0" fontId="14" numFmtId="49" xfId="0" applyAlignment="1" applyFont="1" applyNumberFormat="1">
      <alignment horizontal="left" shrinkToFit="0" vertical="top" wrapText="0"/>
    </xf>
    <xf borderId="0" fillId="0" fontId="23" numFmtId="167" xfId="0" applyAlignment="1" applyFont="1" applyNumberFormat="1">
      <alignment horizontal="left" readingOrder="0" vertical="center"/>
    </xf>
    <xf borderId="0" fillId="0" fontId="7" numFmtId="167" xfId="0" applyAlignment="1" applyFont="1" applyNumberFormat="1">
      <alignment horizontal="center" readingOrder="0" vertical="center"/>
    </xf>
    <xf borderId="13" fillId="0" fontId="23" numFmtId="49" xfId="0" applyAlignment="1" applyBorder="1" applyFont="1" applyNumberFormat="1">
      <alignment horizontal="left" readingOrder="0"/>
    </xf>
    <xf borderId="13" fillId="0" fontId="7" numFmtId="49" xfId="0" applyAlignment="1" applyBorder="1" applyFont="1" applyNumberFormat="1">
      <alignment horizontal="left" readingOrder="0"/>
    </xf>
    <xf borderId="13" fillId="0" fontId="7" numFmtId="41" xfId="0" applyAlignment="1" applyBorder="1" applyFont="1" applyNumberFormat="1">
      <alignment horizontal="right" readingOrder="0" vertical="center"/>
    </xf>
    <xf borderId="0" fillId="0" fontId="24" numFmtId="49" xfId="0" applyAlignment="1" applyFont="1" applyNumberFormat="1">
      <alignment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0" fillId="0" fontId="24" numFmtId="41" xfId="0" applyAlignment="1" applyFont="1" applyNumberFormat="1">
      <alignment horizontal="right" readingOrder="0"/>
    </xf>
    <xf borderId="0" fillId="0" fontId="23" numFmtId="49" xfId="0" applyAlignment="1" applyFont="1" applyNumberFormat="1">
      <alignment horizontal="left" readingOrder="0" shrinkToFit="0" vertical="center" wrapText="0"/>
    </xf>
    <xf borderId="0" fillId="0" fontId="23" numFmtId="49" xfId="0" applyAlignment="1" applyFont="1" applyNumberFormat="1">
      <alignment readingOrder="0" shrinkToFit="0" vertical="center" wrapText="1"/>
    </xf>
    <xf borderId="0" fillId="0" fontId="25" numFmtId="41" xfId="0" applyAlignment="1" applyFont="1" applyNumberFormat="1">
      <alignment horizontal="right"/>
    </xf>
    <xf borderId="13" fillId="0" fontId="7" numFmtId="49" xfId="0" applyAlignment="1" applyBorder="1" applyFont="1" applyNumberFormat="1">
      <alignment horizontal="center" shrinkToFit="0" vertical="center" wrapText="1"/>
    </xf>
    <xf borderId="13" fillId="0" fontId="7" numFmtId="49" xfId="0" applyAlignment="1" applyBorder="1" applyFont="1" applyNumberFormat="1">
      <alignment shrinkToFit="0" vertical="center" wrapText="1"/>
    </xf>
    <xf borderId="13" fillId="0" fontId="7" numFmtId="41" xfId="0" applyAlignment="1" applyBorder="1" applyFont="1" applyNumberFormat="1">
      <alignment horizontal="right"/>
    </xf>
    <xf borderId="0" fillId="0" fontId="7" numFmtId="41" xfId="0" applyAlignment="1" applyFont="1" applyNumberFormat="1">
      <alignment horizontal="right" readingOrder="0" vertical="center"/>
    </xf>
    <xf borderId="13" fillId="0" fontId="23" numFmtId="41" xfId="0" applyAlignment="1" applyBorder="1" applyFont="1" applyNumberFormat="1">
      <alignment horizontal="right" readingOrder="0" vertical="center"/>
    </xf>
    <xf borderId="0" fillId="0" fontId="25" numFmtId="41" xfId="0" applyAlignment="1" applyFont="1" applyNumberFormat="1">
      <alignment horizontal="right" readingOrder="0" shrinkToFit="0" vertical="top" wrapText="0"/>
    </xf>
    <xf borderId="0" fillId="0" fontId="24" numFmtId="49" xfId="0" applyAlignment="1" applyFont="1" applyNumberFormat="1">
      <alignment readingOrder="0" shrinkToFit="0" vertical="center" wrapText="1"/>
    </xf>
    <xf borderId="0" fillId="0" fontId="24" numFmtId="0" xfId="0" applyFont="1"/>
    <xf borderId="0" fillId="0" fontId="24" numFmtId="0" xfId="0" applyAlignment="1" applyFont="1">
      <alignment readingOrder="0"/>
    </xf>
    <xf borderId="0" fillId="0" fontId="7" numFmtId="41" xfId="0" applyAlignment="1" applyFont="1" applyNumberFormat="1">
      <alignment horizontal="right" readingOrder="0" shrinkToFit="0" vertical="top" wrapText="0"/>
    </xf>
    <xf borderId="0" fillId="0" fontId="7" numFmtId="41" xfId="0" applyAlignment="1" applyFont="1" applyNumberFormat="1">
      <alignment horizontal="right" shrinkToFit="0" vertical="top" wrapText="0"/>
    </xf>
    <xf borderId="0" fillId="0" fontId="23" numFmtId="41" xfId="0" applyAlignment="1" applyFont="1" applyNumberFormat="1">
      <alignment horizontal="right" readingOrder="0" shrinkToFit="0" vertical="top" wrapText="0"/>
    </xf>
    <xf borderId="13" fillId="0" fontId="14" numFmtId="49" xfId="0" applyAlignment="1" applyBorder="1" applyFont="1" applyNumberFormat="1">
      <alignment readingOrder="0" shrinkToFit="0" vertical="center" wrapText="1"/>
    </xf>
    <xf borderId="0" fillId="2" fontId="20" numFmtId="49" xfId="0" applyAlignment="1" applyFont="1" applyNumberFormat="1">
      <alignment horizontal="center" readingOrder="0"/>
    </xf>
    <xf borderId="15" fillId="0" fontId="26" numFmtId="0" xfId="0" applyAlignment="1" applyBorder="1" applyFont="1">
      <alignment horizontal="center" readingOrder="0" shrinkToFit="0" wrapText="1"/>
    </xf>
    <xf borderId="13" fillId="0" fontId="11" numFmtId="41" xfId="0" applyAlignment="1" applyBorder="1" applyFont="1" applyNumberFormat="1">
      <alignment horizontal="center" readingOrder="0" vertical="center"/>
    </xf>
    <xf borderId="0" fillId="0" fontId="12" numFmtId="41" xfId="0" applyAlignment="1" applyFont="1" applyNumberFormat="1">
      <alignment horizontal="left" readingOrder="0" shrinkToFit="0" vertical="top" wrapText="0"/>
    </xf>
    <xf borderId="0" fillId="0" fontId="12" numFmtId="41" xfId="0" applyAlignment="1" applyFont="1" applyNumberFormat="1">
      <alignment readingOrder="0"/>
    </xf>
    <xf borderId="0" fillId="0" fontId="13" numFmtId="49" xfId="0" applyAlignment="1" applyFont="1" applyNumberFormat="1">
      <alignment readingOrder="0" shrinkToFit="0" vertical="center" wrapText="1"/>
    </xf>
    <xf borderId="0" fillId="0" fontId="27" numFmtId="41" xfId="0" applyFont="1" applyNumberFormat="1"/>
    <xf borderId="0" fillId="0" fontId="27" numFmtId="41" xfId="0" applyAlignment="1" applyFont="1" applyNumberFormat="1">
      <alignment horizontal="left" shrinkToFit="0" vertical="top" wrapText="0"/>
    </xf>
    <xf borderId="0" fillId="0" fontId="28" numFmtId="49" xfId="0" applyAlignment="1" applyFont="1" applyNumberFormat="1">
      <alignment vertical="bottom"/>
    </xf>
    <xf borderId="0" fillId="0" fontId="12" numFmtId="49" xfId="0" applyAlignment="1" applyFont="1" applyNumberFormat="1">
      <alignment readingOrder="0" shrinkToFit="0" vertical="center" wrapText="1"/>
    </xf>
    <xf borderId="0" fillId="0" fontId="12" numFmtId="0" xfId="0" applyAlignment="1" applyFont="1">
      <alignment readingOrder="0"/>
    </xf>
    <xf borderId="0" fillId="0" fontId="12" numFmtId="41" xfId="0" applyFont="1" applyNumberFormat="1"/>
    <xf borderId="13" fillId="0" fontId="11" numFmtId="167" xfId="0" applyAlignment="1" applyBorder="1" applyFont="1" applyNumberFormat="1">
      <alignment horizontal="center" readingOrder="0" vertical="center"/>
    </xf>
    <xf borderId="0" fillId="0" fontId="12" numFmtId="167" xfId="0" applyAlignment="1" applyFont="1" applyNumberFormat="1">
      <alignment horizontal="center" readingOrder="0"/>
    </xf>
    <xf borderId="0" fillId="0" fontId="13" numFmtId="167" xfId="0" applyAlignment="1" applyFont="1" applyNumberFormat="1">
      <alignment horizontal="center" readingOrder="0"/>
    </xf>
    <xf borderId="13" fillId="0" fontId="11" numFmtId="10" xfId="0" applyAlignment="1" applyBorder="1" applyFont="1" applyNumberFormat="1">
      <alignment horizontal="right" readingOrder="0" vertical="center"/>
    </xf>
    <xf borderId="0" fillId="0" fontId="12" numFmtId="49" xfId="0" applyAlignment="1" applyFont="1" applyNumberFormat="1">
      <alignment horizontal="right" readingOrder="0" shrinkToFit="0" vertical="top" wrapText="0"/>
    </xf>
    <xf borderId="11" fillId="2" fontId="29" numFmtId="49" xfId="0" applyAlignment="1" applyBorder="1" applyFont="1" applyNumberFormat="1">
      <alignment horizontal="center" readingOrder="0" shrinkToFit="0" vertical="center" wrapText="0"/>
    </xf>
    <xf borderId="0" fillId="2" fontId="20" numFmtId="169" xfId="0" applyAlignment="1" applyFont="1" applyNumberFormat="1">
      <alignment horizontal="center" readingOrder="0"/>
    </xf>
    <xf borderId="0" fillId="0" fontId="6" numFmtId="3" xfId="0" applyAlignment="1" applyFont="1" applyNumberFormat="1">
      <alignment horizontal="center" readingOrder="0" vertical="center"/>
    </xf>
    <xf borderId="16" fillId="0" fontId="6" numFmtId="3" xfId="0" applyAlignment="1" applyBorder="1" applyFont="1" applyNumberFormat="1">
      <alignment horizontal="center" readingOrder="0" vertical="center"/>
    </xf>
    <xf borderId="16" fillId="0" fontId="11" numFmtId="167" xfId="0" applyAlignment="1" applyBorder="1" applyFont="1" applyNumberFormat="1">
      <alignment horizontal="left" readingOrder="0" vertical="center"/>
    </xf>
    <xf borderId="0" fillId="0" fontId="10" numFmtId="169" xfId="0" applyAlignment="1" applyFont="1" applyNumberFormat="1">
      <alignment horizontal="center" readingOrder="0" vertical="center"/>
    </xf>
    <xf borderId="16" fillId="0" fontId="9" numFmtId="0" xfId="0" applyBorder="1" applyFont="1"/>
    <xf borderId="13" fillId="0" fontId="30" numFmtId="49" xfId="0" applyAlignment="1" applyBorder="1" applyFont="1" applyNumberFormat="1">
      <alignment horizontal="left" shrinkToFit="0" vertical="center" wrapText="1"/>
    </xf>
    <xf borderId="13" fillId="0" fontId="31" numFmtId="3" xfId="0" applyAlignment="1" applyBorder="1" applyFont="1" applyNumberFormat="1">
      <alignment horizontal="center" readingOrder="0" shrinkToFit="0" vertical="center" wrapText="1"/>
    </xf>
    <xf borderId="13" fillId="0" fontId="31" numFmtId="3" xfId="0" applyAlignment="1" applyBorder="1" applyFont="1" applyNumberFormat="1">
      <alignment horizontal="center" readingOrder="0"/>
    </xf>
    <xf borderId="0" fillId="2" fontId="8" numFmtId="49" xfId="0" applyAlignment="1" applyFont="1" applyNumberFormat="1">
      <alignment horizontal="center" readingOrder="0" shrinkToFit="0" vertical="center" wrapText="0"/>
    </xf>
    <xf borderId="0" fillId="0" fontId="32" numFmtId="0" xfId="0" applyAlignment="1" applyFont="1">
      <alignment horizontal="center" shrinkToFit="0" wrapText="0"/>
    </xf>
    <xf borderId="17" fillId="0" fontId="33" numFmtId="0" xfId="0" applyAlignment="1" applyBorder="1" applyFont="1">
      <alignment horizontal="center" readingOrder="0" shrinkToFit="0" wrapText="0"/>
    </xf>
    <xf borderId="18" fillId="0" fontId="9" numFmtId="0" xfId="0" applyBorder="1" applyFont="1"/>
    <xf borderId="0" fillId="0" fontId="33" numFmtId="0" xfId="0" applyAlignment="1" applyFont="1">
      <alignment horizontal="center" readingOrder="0" shrinkToFit="0" wrapText="0"/>
    </xf>
    <xf borderId="19" fillId="0" fontId="9" numFmtId="0" xfId="0" applyBorder="1" applyFont="1"/>
    <xf borderId="0" fillId="0" fontId="32" numFmtId="0" xfId="0" applyAlignment="1" applyFont="1">
      <alignment horizontal="left" readingOrder="0" shrinkToFit="0" wrapText="0"/>
    </xf>
    <xf borderId="20" fillId="0" fontId="32" numFmtId="0" xfId="0" applyAlignment="1" applyBorder="1" applyFont="1">
      <alignment horizontal="left" readingOrder="0" shrinkToFit="0" wrapText="0"/>
    </xf>
    <xf borderId="20" fillId="0" fontId="32" numFmtId="0" xfId="0" applyAlignment="1" applyBorder="1" applyFont="1">
      <alignment horizontal="center" readingOrder="0" shrinkToFit="0" wrapText="0"/>
    </xf>
    <xf borderId="21" fillId="0" fontId="32" numFmtId="0" xfId="0" applyAlignment="1" applyBorder="1" applyFont="1">
      <alignment horizontal="center" readingOrder="0" shrinkToFit="0" wrapText="0"/>
    </xf>
    <xf borderId="0" fillId="0" fontId="32" numFmtId="0" xfId="0" applyAlignment="1" applyFont="1">
      <alignment readingOrder="0" shrinkToFit="0" vertical="bottom" wrapText="0"/>
    </xf>
    <xf borderId="0" fillId="0" fontId="32" numFmtId="3" xfId="0" applyAlignment="1" applyFont="1" applyNumberFormat="1">
      <alignment horizontal="center" readingOrder="0" shrinkToFit="0" vertical="bottom" wrapText="0"/>
    </xf>
    <xf borderId="19" fillId="0" fontId="32" numFmtId="3" xfId="0" applyAlignment="1" applyBorder="1" applyFont="1" applyNumberFormat="1">
      <alignment horizontal="center" readingOrder="0" shrinkToFit="0" vertical="bottom" wrapText="0"/>
    </xf>
    <xf borderId="22" fillId="3" fontId="1" numFmtId="49" xfId="0" applyAlignment="1" applyBorder="1" applyFill="1" applyFont="1" applyNumberFormat="1">
      <alignment horizontal="center" readingOrder="0" shrinkToFit="0" vertical="center" wrapText="1"/>
    </xf>
    <xf borderId="23" fillId="3" fontId="1" numFmtId="49" xfId="0" applyAlignment="1" applyBorder="1" applyFont="1" applyNumberFormat="1">
      <alignment horizontal="center" readingOrder="0" shrinkToFit="0" vertical="center" wrapText="1"/>
    </xf>
    <xf borderId="23" fillId="3" fontId="1" numFmtId="49" xfId="0" applyAlignment="1" applyBorder="1" applyFont="1" applyNumberFormat="1">
      <alignment horizontal="center" shrinkToFit="0" vertical="center" wrapText="1"/>
    </xf>
    <xf borderId="24" fillId="3" fontId="1" numFmtId="49" xfId="0" applyAlignment="1" applyBorder="1" applyFont="1" applyNumberFormat="1">
      <alignment horizontal="center" readingOrder="0" shrinkToFit="0" vertical="center" wrapText="1"/>
    </xf>
    <xf borderId="25" fillId="0" fontId="6" numFmtId="49" xfId="0" applyAlignment="1" applyBorder="1" applyFont="1" applyNumberFormat="1">
      <alignment shrinkToFit="0" wrapText="1"/>
    </xf>
    <xf borderId="25" fillId="0" fontId="6" numFmtId="49" xfId="0" applyAlignment="1" applyBorder="1" applyFont="1" applyNumberFormat="1">
      <alignment readingOrder="0" shrinkToFit="0" vertical="center" wrapText="1"/>
    </xf>
    <xf borderId="25" fillId="0" fontId="6" numFmtId="49" xfId="0" applyBorder="1" applyFont="1" applyNumberFormat="1"/>
    <xf quotePrefix="1" borderId="25" fillId="0" fontId="6" numFmtId="49" xfId="0" applyAlignment="1" applyBorder="1" applyFont="1" applyNumberFormat="1">
      <alignment shrinkToFit="0" wrapText="1"/>
    </xf>
    <xf borderId="25" fillId="0" fontId="34" numFmtId="0" xfId="0" applyAlignment="1" applyBorder="1" applyFont="1">
      <alignment shrinkToFit="0" wrapText="0"/>
    </xf>
    <xf borderId="25" fillId="0" fontId="12" numFmtId="49" xfId="0" applyAlignment="1" applyBorder="1" applyFont="1" applyNumberFormat="1">
      <alignment shrinkToFit="0" vertical="center" wrapText="1"/>
    </xf>
    <xf borderId="25" fillId="0" fontId="34" numFmtId="3" xfId="0" applyAlignment="1" applyBorder="1" applyFont="1" applyNumberFormat="1">
      <alignment shrinkToFit="0" wrapText="0"/>
    </xf>
    <xf borderId="25" fillId="0" fontId="6" numFmtId="4" xfId="0" applyAlignment="1" applyBorder="1" applyFont="1" applyNumberFormat="1">
      <alignment horizontal="right"/>
    </xf>
    <xf borderId="25" fillId="0" fontId="6" numFmtId="4" xfId="0" applyBorder="1" applyFont="1" applyNumberFormat="1"/>
    <xf borderId="25" fillId="0" fontId="6" numFmtId="10" xfId="0" applyAlignment="1" applyBorder="1" applyFont="1" applyNumberFormat="1">
      <alignment horizontal="right"/>
    </xf>
    <xf borderId="25" fillId="0" fontId="35" numFmtId="49" xfId="0" applyAlignment="1" applyBorder="1" applyFont="1" applyNumberFormat="1">
      <alignment shrinkToFit="0" vertical="bottom" wrapText="1"/>
    </xf>
    <xf borderId="25" fillId="0" fontId="12" numFmtId="49" xfId="0" applyAlignment="1" applyBorder="1" applyFont="1" applyNumberFormat="1">
      <alignment readingOrder="0" shrinkToFit="0" vertical="center" wrapText="1"/>
    </xf>
    <xf borderId="25" fillId="0" fontId="6" numFmtId="49" xfId="0" applyAlignment="1" applyBorder="1" applyFont="1" applyNumberFormat="1">
      <alignment shrinkToFit="0" vertical="bottom" wrapText="1"/>
    </xf>
    <xf borderId="25" fillId="0" fontId="6" numFmtId="4" xfId="0" applyAlignment="1" applyBorder="1" applyFont="1" applyNumberFormat="1">
      <alignment horizontal="right" vertical="bottom"/>
    </xf>
    <xf borderId="25" fillId="0" fontId="6" numFmtId="49" xfId="0" applyAlignment="1" applyBorder="1" applyFont="1" applyNumberFormat="1">
      <alignment vertical="bottom"/>
    </xf>
    <xf borderId="25" fillId="0" fontId="36" numFmtId="49" xfId="0" applyAlignment="1" applyBorder="1" applyFont="1" applyNumberFormat="1">
      <alignment horizontal="right" readingOrder="0" shrinkToFit="0" wrapText="0"/>
    </xf>
    <xf borderId="25" fillId="0" fontId="37" numFmtId="49" xfId="0" applyAlignment="1" applyBorder="1" applyFont="1" applyNumberFormat="1">
      <alignment horizontal="right" readingOrder="0" shrinkToFit="0" wrapText="0"/>
    </xf>
    <xf borderId="26" fillId="0" fontId="6" numFmtId="49" xfId="0" applyAlignment="1" applyBorder="1" applyFont="1" applyNumberFormat="1">
      <alignment readingOrder="0" shrinkToFit="0" wrapText="1"/>
    </xf>
    <xf borderId="25" fillId="0" fontId="6" numFmtId="49" xfId="0" applyAlignment="1" applyBorder="1" applyFont="1" applyNumberFormat="1">
      <alignment readingOrder="0" shrinkToFit="0" wrapText="1"/>
    </xf>
    <xf borderId="0" fillId="0" fontId="12" numFmtId="49" xfId="0" applyAlignment="1" applyFont="1" applyNumberFormat="1">
      <alignment readingOrder="0"/>
    </xf>
    <xf borderId="25" fillId="0" fontId="12" numFmtId="4" xfId="0" applyAlignment="1" applyBorder="1" applyFont="1" applyNumberFormat="1">
      <alignment horizontal="left" shrinkToFit="0" vertical="top" wrapText="0"/>
    </xf>
    <xf borderId="0" fillId="4" fontId="38" numFmtId="49" xfId="0" applyAlignment="1" applyFill="1" applyFont="1" applyNumberFormat="1">
      <alignment readingOrder="0"/>
    </xf>
    <xf borderId="25" fillId="0" fontId="6" numFmtId="49" xfId="0" applyAlignment="1" applyBorder="1" applyFont="1" applyNumberFormat="1">
      <alignment readingOrder="0" vertical="bottom"/>
    </xf>
    <xf borderId="25" fillId="0" fontId="6" numFmtId="49" xfId="0" applyAlignment="1" applyBorder="1" applyFont="1" applyNumberFormat="1">
      <alignment readingOrder="0"/>
    </xf>
    <xf borderId="25" fillId="0" fontId="12" numFmtId="49" xfId="0" applyAlignment="1" applyBorder="1" applyFont="1" applyNumberFormat="1">
      <alignment readingOrder="0"/>
    </xf>
    <xf borderId="25" fillId="0" fontId="12" numFmtId="49" xfId="0" applyAlignment="1" applyBorder="1" applyFont="1" applyNumberFormat="1">
      <alignment horizontal="left" shrinkToFit="0" vertical="top" wrapText="0"/>
    </xf>
    <xf borderId="25" fillId="4" fontId="38" numFmtId="49" xfId="0" applyAlignment="1" applyBorder="1" applyFont="1" applyNumberFormat="1">
      <alignment readingOrder="0"/>
    </xf>
    <xf borderId="25" fillId="0" fontId="12" numFmtId="4" xfId="0" applyAlignment="1" applyBorder="1" applyFont="1" applyNumberFormat="1">
      <alignment shrinkToFit="0" vertical="center" wrapText="1"/>
    </xf>
    <xf borderId="25" fillId="0" fontId="12" numFmtId="4" xfId="0" applyAlignment="1" applyBorder="1" applyFont="1" applyNumberFormat="1">
      <alignment shrinkToFit="0" vertical="top" wrapText="1"/>
    </xf>
    <xf borderId="25" fillId="0" fontId="12" numFmtId="49" xfId="0" applyAlignment="1" applyBorder="1" applyFont="1" applyNumberFormat="1">
      <alignment shrinkToFit="0" vertical="top" wrapText="1"/>
    </xf>
    <xf borderId="23" fillId="3" fontId="1" numFmtId="49" xfId="0" applyAlignment="1" applyBorder="1" applyFont="1" applyNumberFormat="1">
      <alignment horizontal="center" readingOrder="0" shrinkToFit="0" wrapText="1"/>
    </xf>
    <xf borderId="24" fillId="3" fontId="1" numFmtId="49" xfId="0" applyAlignment="1" applyBorder="1" applyFont="1" applyNumberFormat="1">
      <alignment horizontal="center" readingOrder="0" shrinkToFit="0" wrapText="1"/>
    </xf>
    <xf borderId="25" fillId="0" fontId="6" numFmtId="4" xfId="0" applyAlignment="1" applyBorder="1" applyFont="1" applyNumberFormat="1">
      <alignment horizontal="right" vertical="top"/>
    </xf>
    <xf borderId="25" fillId="0" fontId="6" numFmtId="4" xfId="0" applyAlignment="1" applyBorder="1" applyFont="1" applyNumberFormat="1">
      <alignment horizontal="right" shrinkToFit="0" vertical="bottom" wrapText="1"/>
    </xf>
    <xf borderId="0" fillId="0" fontId="6" numFmtId="0" xfId="0" applyAlignment="1" applyFont="1">
      <alignment vertical="bottom"/>
    </xf>
    <xf borderId="25" fillId="0" fontId="6" numFmtId="0" xfId="0" applyAlignment="1" applyBorder="1" applyFont="1">
      <alignment shrinkToFit="0" vertical="bottom" wrapText="1"/>
    </xf>
    <xf borderId="25" fillId="0" fontId="6" numFmtId="0" xfId="0" applyAlignment="1" applyBorder="1" applyFont="1">
      <alignment shrinkToFit="0" wrapText="1"/>
    </xf>
    <xf quotePrefix="1" borderId="25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123825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25"/>
    <col customWidth="1" min="4" max="4" width="65.13"/>
    <col customWidth="1" min="5" max="7" width="70.0"/>
  </cols>
  <sheetData>
    <row r="1">
      <c r="A1" s="1"/>
      <c r="B1" s="1"/>
      <c r="C1" s="1"/>
      <c r="D1" s="2"/>
      <c r="E1" s="3"/>
      <c r="F1" s="3"/>
      <c r="G1" s="3"/>
    </row>
    <row r="2" ht="6.75" customHeight="1">
      <c r="A2" s="1"/>
      <c r="B2" s="4"/>
      <c r="C2" s="4"/>
      <c r="D2" s="5"/>
      <c r="E2" s="6"/>
      <c r="F2" s="6"/>
      <c r="G2" s="6"/>
    </row>
    <row r="3">
      <c r="A3" s="1"/>
      <c r="B3" s="4"/>
      <c r="C3" s="4"/>
      <c r="D3" s="5"/>
      <c r="E3" s="6"/>
      <c r="F3" s="6"/>
      <c r="G3" s="6"/>
    </row>
    <row r="4">
      <c r="A4" s="1"/>
      <c r="B4" s="4"/>
      <c r="C4" s="4"/>
      <c r="D4" s="5"/>
      <c r="E4" s="6"/>
      <c r="F4" s="6"/>
      <c r="G4" s="6"/>
    </row>
    <row r="5">
      <c r="A5" s="7"/>
      <c r="B5" s="8"/>
      <c r="C5" s="9" t="s">
        <v>0</v>
      </c>
      <c r="D5" s="10"/>
      <c r="E5" s="10"/>
      <c r="F5" s="10"/>
      <c r="G5" s="10"/>
    </row>
    <row r="6">
      <c r="A6" s="1"/>
      <c r="B6" s="4"/>
      <c r="C6" s="4"/>
      <c r="D6" s="11"/>
      <c r="E6" s="12"/>
      <c r="F6" s="12"/>
      <c r="G6" s="12"/>
    </row>
    <row r="7">
      <c r="A7" s="13"/>
      <c r="B7" s="14"/>
      <c r="C7" s="15" t="s">
        <v>1</v>
      </c>
      <c r="D7" s="16"/>
      <c r="E7" s="17"/>
      <c r="F7" s="17"/>
      <c r="G7" s="17"/>
    </row>
    <row r="8">
      <c r="A8" s="18"/>
      <c r="B8" s="19"/>
      <c r="C8" s="20" t="s">
        <v>2</v>
      </c>
      <c r="D8" s="21" t="s">
        <v>3</v>
      </c>
      <c r="E8" s="22" t="s">
        <v>4</v>
      </c>
      <c r="F8" s="23" t="s">
        <v>4</v>
      </c>
      <c r="G8" s="23" t="s">
        <v>4</v>
      </c>
    </row>
    <row r="9">
      <c r="A9" s="18"/>
      <c r="B9" s="19"/>
      <c r="C9" s="24" t="s">
        <v>5</v>
      </c>
      <c r="D9" s="25" t="s">
        <v>6</v>
      </c>
      <c r="E9" s="26" t="s">
        <v>7</v>
      </c>
      <c r="F9" s="27" t="s">
        <v>8</v>
      </c>
      <c r="G9" s="27" t="s">
        <v>9</v>
      </c>
    </row>
    <row r="10">
      <c r="A10" s="18"/>
      <c r="B10" s="19"/>
      <c r="C10" s="24" t="s">
        <v>10</v>
      </c>
      <c r="D10" s="25" t="s">
        <v>11</v>
      </c>
      <c r="E10" s="26" t="s">
        <v>12</v>
      </c>
      <c r="F10" s="27" t="s">
        <v>12</v>
      </c>
      <c r="G10" s="27" t="s">
        <v>12</v>
      </c>
    </row>
    <row r="11">
      <c r="A11" s="18"/>
      <c r="B11" s="19"/>
      <c r="C11" s="24" t="s">
        <v>13</v>
      </c>
      <c r="D11" s="25" t="s">
        <v>14</v>
      </c>
      <c r="E11" s="26" t="s">
        <v>15</v>
      </c>
      <c r="F11" s="27" t="s">
        <v>15</v>
      </c>
      <c r="G11" s="27" t="s">
        <v>15</v>
      </c>
    </row>
    <row r="12">
      <c r="A12" s="18"/>
      <c r="B12" s="19"/>
      <c r="C12" s="24" t="s">
        <v>16</v>
      </c>
      <c r="D12" s="25" t="s">
        <v>17</v>
      </c>
      <c r="E12" s="26" t="s">
        <v>18</v>
      </c>
      <c r="F12" s="27" t="s">
        <v>18</v>
      </c>
      <c r="G12" s="27" t="s">
        <v>19</v>
      </c>
    </row>
    <row r="13">
      <c r="A13" s="18"/>
      <c r="B13" s="19"/>
      <c r="C13" s="24" t="s">
        <v>20</v>
      </c>
      <c r="D13" s="25" t="s">
        <v>21</v>
      </c>
      <c r="E13" s="26" t="s">
        <v>22</v>
      </c>
      <c r="F13" s="27" t="s">
        <v>22</v>
      </c>
      <c r="G13" s="27" t="s">
        <v>22</v>
      </c>
    </row>
    <row r="14">
      <c r="A14" s="18"/>
      <c r="B14" s="19"/>
      <c r="C14" s="24" t="s">
        <v>23</v>
      </c>
      <c r="D14" s="25" t="s">
        <v>24</v>
      </c>
      <c r="E14" s="26" t="s">
        <v>25</v>
      </c>
      <c r="F14" s="27" t="s">
        <v>25</v>
      </c>
      <c r="G14" s="27" t="s">
        <v>25</v>
      </c>
    </row>
    <row r="15">
      <c r="A15" s="18"/>
      <c r="B15" s="19"/>
      <c r="C15" s="24" t="s">
        <v>26</v>
      </c>
      <c r="D15" s="25" t="s">
        <v>27</v>
      </c>
      <c r="E15" s="28">
        <v>1.148732397E8</v>
      </c>
      <c r="F15" s="29">
        <v>8.667160488E8</v>
      </c>
      <c r="G15" s="29">
        <v>7.1888603816E8</v>
      </c>
    </row>
    <row r="16">
      <c r="A16" s="18"/>
      <c r="B16" s="19"/>
      <c r="C16" s="24" t="s">
        <v>28</v>
      </c>
      <c r="D16" s="25" t="s">
        <v>29</v>
      </c>
      <c r="E16" s="28">
        <v>7.5E7</v>
      </c>
      <c r="F16" s="29">
        <v>8.0E8</v>
      </c>
      <c r="G16" s="29">
        <v>7.0E8</v>
      </c>
    </row>
    <row r="17">
      <c r="A17" s="18"/>
      <c r="B17" s="19"/>
      <c r="C17" s="24" t="s">
        <v>30</v>
      </c>
      <c r="D17" s="25" t="s">
        <v>31</v>
      </c>
      <c r="E17" s="26" t="s">
        <v>32</v>
      </c>
      <c r="F17" s="27" t="s">
        <v>32</v>
      </c>
      <c r="G17" s="27" t="s">
        <v>32</v>
      </c>
    </row>
    <row r="18">
      <c r="A18" s="18"/>
      <c r="B18" s="19"/>
      <c r="C18" s="24" t="s">
        <v>33</v>
      </c>
      <c r="D18" s="25" t="s">
        <v>34</v>
      </c>
      <c r="E18" s="26" t="s">
        <v>35</v>
      </c>
      <c r="F18" s="27" t="s">
        <v>36</v>
      </c>
      <c r="G18" s="27" t="s">
        <v>37</v>
      </c>
    </row>
    <row r="19">
      <c r="A19" s="18"/>
      <c r="B19" s="19"/>
      <c r="C19" s="24" t="s">
        <v>38</v>
      </c>
      <c r="D19" s="25" t="s">
        <v>39</v>
      </c>
      <c r="E19" s="26" t="s">
        <v>40</v>
      </c>
      <c r="F19" s="27" t="s">
        <v>40</v>
      </c>
      <c r="G19" s="27" t="s">
        <v>41</v>
      </c>
    </row>
    <row r="20">
      <c r="A20" s="18"/>
      <c r="B20" s="19"/>
      <c r="C20" s="24" t="s">
        <v>42</v>
      </c>
      <c r="D20" s="25" t="s">
        <v>43</v>
      </c>
      <c r="E20" s="26" t="s">
        <v>44</v>
      </c>
      <c r="F20" s="27" t="s">
        <v>45</v>
      </c>
      <c r="G20" s="27" t="s">
        <v>15</v>
      </c>
    </row>
    <row r="21">
      <c r="A21" s="18"/>
      <c r="B21" s="19"/>
      <c r="C21" s="24" t="s">
        <v>46</v>
      </c>
      <c r="D21" s="25" t="s">
        <v>47</v>
      </c>
      <c r="E21" s="26" t="s">
        <v>48</v>
      </c>
      <c r="F21" s="27" t="s">
        <v>48</v>
      </c>
      <c r="G21" s="27" t="s">
        <v>48</v>
      </c>
    </row>
    <row r="22">
      <c r="A22" s="18"/>
      <c r="B22" s="19"/>
      <c r="C22" s="24" t="s">
        <v>49</v>
      </c>
      <c r="D22" s="25" t="s">
        <v>50</v>
      </c>
      <c r="E22" s="26" t="s">
        <v>51</v>
      </c>
      <c r="F22" s="27" t="s">
        <v>52</v>
      </c>
      <c r="G22" s="30">
        <v>46753.0</v>
      </c>
    </row>
    <row r="23">
      <c r="A23" s="18"/>
      <c r="B23" s="19"/>
      <c r="C23" s="24" t="s">
        <v>53</v>
      </c>
      <c r="D23" s="25" t="s">
        <v>54</v>
      </c>
      <c r="E23" s="26" t="s">
        <v>55</v>
      </c>
      <c r="F23" s="27" t="s">
        <v>56</v>
      </c>
      <c r="G23" s="27" t="s">
        <v>57</v>
      </c>
    </row>
    <row r="24">
      <c r="A24" s="18"/>
      <c r="B24" s="19"/>
      <c r="C24" s="31" t="s">
        <v>58</v>
      </c>
      <c r="D24" s="25"/>
      <c r="E24" s="26"/>
      <c r="F24" s="26"/>
    </row>
    <row r="25">
      <c r="A25" s="18"/>
      <c r="B25" s="19"/>
      <c r="C25" s="24" t="s">
        <v>59</v>
      </c>
      <c r="D25" s="25" t="s">
        <v>60</v>
      </c>
      <c r="E25" s="26" t="s">
        <v>61</v>
      </c>
      <c r="F25" s="27" t="s">
        <v>61</v>
      </c>
      <c r="G25" s="27" t="s">
        <v>61</v>
      </c>
    </row>
    <row r="26">
      <c r="A26" s="18"/>
      <c r="B26" s="19"/>
      <c r="C26" s="24" t="s">
        <v>62</v>
      </c>
      <c r="D26" s="25" t="s">
        <v>63</v>
      </c>
      <c r="E26" s="26" t="s">
        <v>64</v>
      </c>
      <c r="F26" s="27" t="s">
        <v>65</v>
      </c>
      <c r="G26" s="27" t="s">
        <v>66</v>
      </c>
    </row>
    <row r="27">
      <c r="A27" s="18"/>
      <c r="B27" s="19"/>
      <c r="C27" s="24" t="s">
        <v>67</v>
      </c>
      <c r="D27" s="25" t="s">
        <v>68</v>
      </c>
      <c r="E27" s="26" t="s">
        <v>69</v>
      </c>
      <c r="F27" s="27" t="s">
        <v>69</v>
      </c>
      <c r="G27" s="27" t="s">
        <v>69</v>
      </c>
    </row>
    <row r="28">
      <c r="A28" s="18"/>
      <c r="B28" s="19"/>
      <c r="C28" s="24" t="s">
        <v>70</v>
      </c>
      <c r="D28" s="25" t="s">
        <v>71</v>
      </c>
      <c r="E28" s="26" t="s">
        <v>72</v>
      </c>
      <c r="F28" s="27" t="s">
        <v>72</v>
      </c>
      <c r="G28" s="27" t="s">
        <v>72</v>
      </c>
    </row>
    <row r="29">
      <c r="A29" s="18"/>
      <c r="B29" s="19"/>
      <c r="C29" s="24" t="s">
        <v>73</v>
      </c>
      <c r="D29" s="25" t="s">
        <v>74</v>
      </c>
      <c r="E29" s="26" t="s">
        <v>69</v>
      </c>
      <c r="F29" s="27" t="s">
        <v>69</v>
      </c>
      <c r="G29" s="27" t="s">
        <v>69</v>
      </c>
    </row>
    <row r="30">
      <c r="A30" s="18"/>
      <c r="B30" s="19"/>
      <c r="C30" s="24" t="s">
        <v>75</v>
      </c>
      <c r="D30" s="25" t="s">
        <v>76</v>
      </c>
      <c r="E30" s="26" t="s">
        <v>15</v>
      </c>
      <c r="F30" s="27" t="s">
        <v>15</v>
      </c>
      <c r="G30" s="27" t="s">
        <v>15</v>
      </c>
    </row>
    <row r="31">
      <c r="A31" s="18"/>
      <c r="B31" s="19"/>
      <c r="C31" s="24" t="s">
        <v>77</v>
      </c>
      <c r="D31" s="25" t="s">
        <v>78</v>
      </c>
      <c r="E31" s="26" t="s">
        <v>79</v>
      </c>
      <c r="F31" s="27" t="s">
        <v>79</v>
      </c>
      <c r="G31" s="27" t="s">
        <v>79</v>
      </c>
    </row>
    <row r="32">
      <c r="A32" s="18"/>
      <c r="B32" s="19"/>
      <c r="C32" s="24" t="s">
        <v>80</v>
      </c>
      <c r="D32" s="25" t="s">
        <v>81</v>
      </c>
      <c r="E32" s="26" t="s">
        <v>15</v>
      </c>
      <c r="F32" s="27" t="s">
        <v>15</v>
      </c>
      <c r="G32" s="27" t="s">
        <v>15</v>
      </c>
    </row>
    <row r="33">
      <c r="A33" s="18"/>
      <c r="B33" s="19"/>
      <c r="C33" s="24" t="s">
        <v>82</v>
      </c>
      <c r="D33" s="25" t="s">
        <v>83</v>
      </c>
      <c r="E33" s="26" t="s">
        <v>15</v>
      </c>
      <c r="F33" s="27" t="s">
        <v>15</v>
      </c>
      <c r="G33" s="27" t="s">
        <v>15</v>
      </c>
    </row>
    <row r="34">
      <c r="A34" s="18"/>
      <c r="B34" s="19"/>
      <c r="C34" s="24" t="s">
        <v>84</v>
      </c>
      <c r="D34" s="25" t="s">
        <v>85</v>
      </c>
      <c r="E34" s="26" t="s">
        <v>15</v>
      </c>
      <c r="F34" s="27" t="s">
        <v>15</v>
      </c>
      <c r="G34" s="27" t="s">
        <v>15</v>
      </c>
    </row>
    <row r="35">
      <c r="A35" s="18"/>
      <c r="B35" s="19"/>
      <c r="C35" s="24" t="s">
        <v>86</v>
      </c>
      <c r="D35" s="25" t="s">
        <v>87</v>
      </c>
      <c r="E35" s="26" t="s">
        <v>15</v>
      </c>
      <c r="F35" s="27" t="s">
        <v>15</v>
      </c>
      <c r="G35" s="27" t="s">
        <v>15</v>
      </c>
    </row>
    <row r="36">
      <c r="A36" s="18"/>
      <c r="B36" s="19"/>
      <c r="C36" s="24" t="s">
        <v>88</v>
      </c>
      <c r="D36" s="25" t="s">
        <v>89</v>
      </c>
      <c r="E36" s="26" t="s">
        <v>15</v>
      </c>
      <c r="F36" s="27" t="s">
        <v>15</v>
      </c>
      <c r="G36" s="27" t="s">
        <v>15</v>
      </c>
    </row>
    <row r="37">
      <c r="A37" s="18"/>
      <c r="B37" s="19"/>
      <c r="C37" s="24" t="s">
        <v>90</v>
      </c>
      <c r="D37" s="25" t="s">
        <v>91</v>
      </c>
      <c r="E37" s="26" t="s">
        <v>15</v>
      </c>
      <c r="F37" s="27" t="s">
        <v>15</v>
      </c>
      <c r="G37" s="27" t="s">
        <v>15</v>
      </c>
    </row>
    <row r="38">
      <c r="A38" s="18"/>
      <c r="B38" s="19"/>
      <c r="C38" s="24" t="s">
        <v>92</v>
      </c>
      <c r="D38" s="25" t="s">
        <v>93</v>
      </c>
      <c r="E38" s="26" t="s">
        <v>48</v>
      </c>
      <c r="F38" s="27" t="s">
        <v>48</v>
      </c>
      <c r="G38" s="27" t="s">
        <v>48</v>
      </c>
    </row>
    <row r="39">
      <c r="A39" s="18"/>
      <c r="B39" s="19"/>
      <c r="C39" s="24" t="s">
        <v>94</v>
      </c>
      <c r="D39" s="25" t="s">
        <v>95</v>
      </c>
      <c r="E39" s="26" t="s">
        <v>96</v>
      </c>
      <c r="F39" s="27" t="s">
        <v>97</v>
      </c>
      <c r="G39" s="27" t="s">
        <v>98</v>
      </c>
    </row>
    <row r="40">
      <c r="A40" s="18"/>
      <c r="B40" s="19"/>
      <c r="C40" s="24" t="s">
        <v>99</v>
      </c>
      <c r="D40" s="25" t="s">
        <v>100</v>
      </c>
      <c r="E40" s="26" t="s">
        <v>101</v>
      </c>
      <c r="F40" s="27" t="s">
        <v>101</v>
      </c>
      <c r="G40" s="27" t="s">
        <v>101</v>
      </c>
    </row>
    <row r="41">
      <c r="A41" s="18"/>
      <c r="B41" s="19"/>
      <c r="C41" s="24" t="s">
        <v>102</v>
      </c>
      <c r="D41" s="25" t="s">
        <v>103</v>
      </c>
      <c r="E41" s="26" t="s">
        <v>104</v>
      </c>
      <c r="F41" s="27" t="s">
        <v>104</v>
      </c>
      <c r="G41" s="27" t="s">
        <v>104</v>
      </c>
    </row>
    <row r="42">
      <c r="A42" s="18"/>
      <c r="B42" s="19"/>
      <c r="C42" s="32" t="s">
        <v>105</v>
      </c>
      <c r="D42" s="25" t="s">
        <v>106</v>
      </c>
      <c r="E42" s="26" t="s">
        <v>107</v>
      </c>
      <c r="F42" s="27" t="s">
        <v>107</v>
      </c>
      <c r="G42" s="27" t="s">
        <v>107</v>
      </c>
    </row>
    <row r="43">
      <c r="A43" s="18"/>
      <c r="B43" s="19"/>
      <c r="C43" s="24" t="s">
        <v>108</v>
      </c>
      <c r="D43" s="25" t="s">
        <v>109</v>
      </c>
      <c r="E43" s="26" t="s">
        <v>110</v>
      </c>
      <c r="F43" s="27" t="s">
        <v>111</v>
      </c>
      <c r="G43" s="27" t="s">
        <v>112</v>
      </c>
    </row>
    <row r="44">
      <c r="A44" s="18"/>
      <c r="B44" s="19"/>
      <c r="C44" s="24" t="s">
        <v>113</v>
      </c>
      <c r="D44" s="25" t="s">
        <v>114</v>
      </c>
      <c r="E44" s="26" t="s">
        <v>69</v>
      </c>
      <c r="F44" s="27" t="s">
        <v>69</v>
      </c>
      <c r="G44" s="27" t="s">
        <v>69</v>
      </c>
    </row>
    <row r="45">
      <c r="A45" s="18"/>
      <c r="B45" s="19"/>
      <c r="C45" s="33" t="s">
        <v>115</v>
      </c>
      <c r="D45" s="34" t="s">
        <v>116</v>
      </c>
      <c r="E45" s="26" t="s">
        <v>15</v>
      </c>
      <c r="F45" s="27" t="s">
        <v>15</v>
      </c>
      <c r="G45" s="27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25"/>
    <col customWidth="1" min="4" max="4" width="73.0"/>
    <col customWidth="1" min="5" max="6" width="16.13"/>
  </cols>
  <sheetData>
    <row r="1">
      <c r="A1" s="1"/>
      <c r="B1" s="1"/>
      <c r="C1" s="1"/>
      <c r="D1" s="1"/>
      <c r="E1" s="2"/>
      <c r="F1" s="3"/>
    </row>
    <row r="2" ht="6.75" customHeight="1">
      <c r="A2" s="1"/>
      <c r="B2" s="4"/>
      <c r="C2" s="4"/>
      <c r="D2" s="4"/>
      <c r="E2" s="5"/>
      <c r="F2" s="6"/>
    </row>
    <row r="3">
      <c r="A3" s="1"/>
      <c r="B3" s="4"/>
      <c r="C3" s="4"/>
      <c r="D3" s="4"/>
      <c r="E3" s="5"/>
      <c r="F3" s="6"/>
    </row>
    <row r="4">
      <c r="A4" s="1"/>
      <c r="B4" s="4"/>
      <c r="C4" s="4"/>
      <c r="D4" s="4"/>
      <c r="E4" s="5"/>
      <c r="F4" s="6"/>
    </row>
    <row r="5">
      <c r="A5" s="7"/>
      <c r="B5" s="8"/>
      <c r="C5" s="35" t="s">
        <v>117</v>
      </c>
      <c r="D5" s="4"/>
      <c r="E5" s="36" t="s">
        <v>118</v>
      </c>
      <c r="F5" s="37"/>
    </row>
    <row r="6">
      <c r="A6" s="1"/>
      <c r="B6" s="4"/>
      <c r="C6" s="4"/>
      <c r="D6" s="4"/>
      <c r="E6" s="11" t="s">
        <v>119</v>
      </c>
      <c r="F6" s="12" t="s">
        <v>120</v>
      </c>
    </row>
    <row r="7">
      <c r="A7" s="13"/>
      <c r="B7" s="14"/>
      <c r="C7" s="15" t="s">
        <v>1</v>
      </c>
      <c r="D7" s="38"/>
      <c r="E7" s="17" t="s">
        <v>121</v>
      </c>
      <c r="F7" s="16" t="s">
        <v>122</v>
      </c>
    </row>
    <row r="8">
      <c r="A8" s="19"/>
      <c r="B8" s="39"/>
      <c r="C8" s="40" t="s">
        <v>123</v>
      </c>
      <c r="D8" s="18"/>
      <c r="E8" s="41"/>
      <c r="F8" s="42"/>
    </row>
    <row r="9">
      <c r="A9" s="19"/>
      <c r="B9" s="39"/>
      <c r="C9" s="43" t="s">
        <v>2</v>
      </c>
      <c r="D9" s="44" t="s">
        <v>124</v>
      </c>
      <c r="E9" s="45">
        <v>4.00840459298E9</v>
      </c>
      <c r="F9" s="46" t="s">
        <v>125</v>
      </c>
    </row>
    <row r="10">
      <c r="A10" s="19"/>
      <c r="B10" s="39"/>
      <c r="C10" s="43" t="s">
        <v>5</v>
      </c>
      <c r="D10" s="44" t="s">
        <v>126</v>
      </c>
      <c r="E10" s="45">
        <v>1.40694915296E9</v>
      </c>
      <c r="F10" s="46" t="s">
        <v>127</v>
      </c>
    </row>
    <row r="11">
      <c r="A11" s="19"/>
      <c r="B11" s="39"/>
      <c r="C11" s="43" t="s">
        <v>10</v>
      </c>
      <c r="D11" s="44" t="s">
        <v>128</v>
      </c>
      <c r="E11" s="45">
        <v>8.79241759E7</v>
      </c>
      <c r="F11" s="46" t="s">
        <v>129</v>
      </c>
    </row>
    <row r="12">
      <c r="A12" s="19"/>
      <c r="B12" s="39"/>
      <c r="C12" s="43" t="s">
        <v>16</v>
      </c>
      <c r="D12" s="44" t="s">
        <v>130</v>
      </c>
      <c r="E12" s="45" t="s">
        <v>131</v>
      </c>
      <c r="F12" s="46"/>
    </row>
    <row r="13">
      <c r="A13" s="19"/>
      <c r="B13" s="18"/>
      <c r="C13" s="43" t="s">
        <v>20</v>
      </c>
      <c r="D13" s="44" t="s">
        <v>132</v>
      </c>
      <c r="E13" s="45">
        <v>5.50327792184E9</v>
      </c>
      <c r="F13" s="46" t="s">
        <v>133</v>
      </c>
    </row>
    <row r="14">
      <c r="A14" s="19"/>
      <c r="B14" s="39"/>
      <c r="C14" s="47" t="s">
        <v>134</v>
      </c>
      <c r="D14" s="48"/>
      <c r="E14" s="49"/>
      <c r="F14" s="50"/>
    </row>
    <row r="15">
      <c r="A15" s="19"/>
      <c r="B15" s="39"/>
      <c r="C15" s="43" t="s">
        <v>23</v>
      </c>
      <c r="D15" s="44" t="s">
        <v>135</v>
      </c>
      <c r="E15" s="45" t="s">
        <v>131</v>
      </c>
      <c r="F15" s="46"/>
    </row>
    <row r="16">
      <c r="A16" s="19"/>
      <c r="B16" s="39"/>
      <c r="C16" s="43" t="s">
        <v>26</v>
      </c>
      <c r="D16" s="44" t="s">
        <v>136</v>
      </c>
      <c r="E16" s="45">
        <v>1.05408201436E9</v>
      </c>
      <c r="F16" s="46"/>
    </row>
    <row r="17">
      <c r="A17" s="19"/>
      <c r="B17" s="39"/>
      <c r="C17" s="43" t="s">
        <v>28</v>
      </c>
      <c r="D17" s="44" t="s">
        <v>137</v>
      </c>
      <c r="E17" s="45">
        <v>2.9750100374E8</v>
      </c>
      <c r="F17" s="46"/>
    </row>
    <row r="18">
      <c r="A18" s="19"/>
      <c r="B18" s="39"/>
      <c r="C18" s="43" t="s">
        <v>30</v>
      </c>
      <c r="D18" s="44" t="s">
        <v>138</v>
      </c>
      <c r="E18" s="45">
        <v>8.769003488E7</v>
      </c>
      <c r="F18" s="46"/>
    </row>
    <row r="19">
      <c r="A19" s="19"/>
      <c r="B19" s="39"/>
      <c r="C19" s="43" t="s">
        <v>33</v>
      </c>
      <c r="D19" s="44" t="s">
        <v>139</v>
      </c>
      <c r="E19" s="45" t="s">
        <v>131</v>
      </c>
      <c r="F19" s="45"/>
    </row>
    <row r="20">
      <c r="A20" s="19"/>
      <c r="B20" s="39"/>
      <c r="C20" s="43" t="s">
        <v>49</v>
      </c>
      <c r="D20" s="44" t="s">
        <v>140</v>
      </c>
      <c r="E20" s="45" t="s">
        <v>131</v>
      </c>
      <c r="F20" s="45"/>
    </row>
    <row r="21">
      <c r="A21" s="19"/>
      <c r="B21" s="39"/>
      <c r="C21" s="43" t="s">
        <v>53</v>
      </c>
      <c r="D21" s="44" t="s">
        <v>141</v>
      </c>
      <c r="E21" s="45" t="s">
        <v>131</v>
      </c>
      <c r="F21" s="45"/>
    </row>
    <row r="22">
      <c r="A22" s="19"/>
      <c r="B22" s="39"/>
      <c r="C22" s="43" t="s">
        <v>59</v>
      </c>
      <c r="D22" s="44" t="s">
        <v>142</v>
      </c>
      <c r="E22" s="45" t="s">
        <v>131</v>
      </c>
      <c r="F22" s="45"/>
    </row>
    <row r="23">
      <c r="A23" s="19"/>
      <c r="B23" s="39"/>
      <c r="C23" s="43" t="s">
        <v>62</v>
      </c>
      <c r="D23" s="44" t="s">
        <v>143</v>
      </c>
      <c r="E23" s="45" t="s">
        <v>131</v>
      </c>
      <c r="F23" s="45"/>
    </row>
    <row r="24">
      <c r="A24" s="19"/>
      <c r="B24" s="39"/>
      <c r="C24" s="43" t="s">
        <v>67</v>
      </c>
      <c r="D24" s="44" t="s">
        <v>144</v>
      </c>
      <c r="E24" s="45" t="s">
        <v>131</v>
      </c>
      <c r="F24" s="45"/>
    </row>
    <row r="25">
      <c r="A25" s="19"/>
      <c r="B25" s="39"/>
      <c r="C25" s="43" t="s">
        <v>73</v>
      </c>
      <c r="D25" s="44" t="s">
        <v>145</v>
      </c>
      <c r="E25" s="45" t="s">
        <v>131</v>
      </c>
      <c r="F25" s="45"/>
    </row>
    <row r="26">
      <c r="A26" s="19"/>
      <c r="B26" s="39"/>
      <c r="C26" s="43" t="s">
        <v>75</v>
      </c>
      <c r="D26" s="44" t="s">
        <v>146</v>
      </c>
      <c r="E26" s="45" t="s">
        <v>131</v>
      </c>
      <c r="F26" s="45"/>
    </row>
    <row r="27">
      <c r="A27" s="19"/>
      <c r="B27" s="39"/>
      <c r="C27" s="43" t="s">
        <v>77</v>
      </c>
      <c r="D27" s="44" t="s">
        <v>147</v>
      </c>
      <c r="E27" s="45" t="s">
        <v>131</v>
      </c>
      <c r="F27" s="45"/>
    </row>
    <row r="28">
      <c r="A28" s="19"/>
      <c r="B28" s="39"/>
      <c r="C28" s="43" t="s">
        <v>82</v>
      </c>
      <c r="D28" s="44" t="s">
        <v>148</v>
      </c>
      <c r="E28" s="45" t="s">
        <v>131</v>
      </c>
      <c r="F28" s="45"/>
    </row>
    <row r="29">
      <c r="A29" s="19"/>
      <c r="B29" s="39"/>
      <c r="C29" s="43" t="s">
        <v>84</v>
      </c>
      <c r="D29" s="44" t="s">
        <v>149</v>
      </c>
      <c r="E29" s="45" t="s">
        <v>131</v>
      </c>
      <c r="F29" s="45"/>
    </row>
    <row r="30">
      <c r="A30" s="19"/>
      <c r="B30" s="39"/>
      <c r="C30" s="44" t="s">
        <v>150</v>
      </c>
      <c r="D30" s="44" t="s">
        <v>151</v>
      </c>
      <c r="E30" s="45" t="s">
        <v>131</v>
      </c>
      <c r="F30" s="46"/>
    </row>
    <row r="31">
      <c r="A31" s="19"/>
      <c r="B31" s="39"/>
      <c r="C31" s="44" t="s">
        <v>152</v>
      </c>
      <c r="D31" s="44" t="s">
        <v>153</v>
      </c>
      <c r="E31" s="45" t="s">
        <v>131</v>
      </c>
      <c r="F31" s="45"/>
    </row>
    <row r="32">
      <c r="A32" s="19"/>
      <c r="B32" s="39"/>
      <c r="C32" s="44" t="s">
        <v>154</v>
      </c>
      <c r="D32" s="44" t="s">
        <v>155</v>
      </c>
      <c r="E32" s="45" t="s">
        <v>131</v>
      </c>
      <c r="F32" s="45"/>
    </row>
    <row r="33">
      <c r="A33" s="19"/>
      <c r="B33" s="39"/>
      <c r="C33" s="44" t="s">
        <v>156</v>
      </c>
      <c r="D33" s="44" t="s">
        <v>157</v>
      </c>
      <c r="E33" s="45" t="s">
        <v>131</v>
      </c>
      <c r="F33" s="45"/>
    </row>
    <row r="34">
      <c r="A34" s="19"/>
      <c r="B34" s="39"/>
      <c r="C34" s="44" t="s">
        <v>158</v>
      </c>
      <c r="D34" s="44" t="s">
        <v>159</v>
      </c>
      <c r="E34" s="45" t="s">
        <v>131</v>
      </c>
      <c r="F34" s="45"/>
    </row>
    <row r="35">
      <c r="A35" s="19"/>
      <c r="B35" s="39"/>
      <c r="C35" s="44" t="s">
        <v>160</v>
      </c>
      <c r="D35" s="44" t="s">
        <v>161</v>
      </c>
      <c r="E35" s="45" t="s">
        <v>131</v>
      </c>
      <c r="F35" s="46"/>
    </row>
    <row r="36">
      <c r="A36" s="19"/>
      <c r="B36" s="39"/>
      <c r="C36" s="44" t="s">
        <v>162</v>
      </c>
      <c r="D36" s="44" t="s">
        <v>163</v>
      </c>
      <c r="E36" s="45" t="s">
        <v>131</v>
      </c>
      <c r="F36" s="45"/>
    </row>
    <row r="37">
      <c r="A37" s="19"/>
      <c r="B37" s="39"/>
      <c r="C37" s="44" t="s">
        <v>164</v>
      </c>
      <c r="D37" s="44" t="s">
        <v>165</v>
      </c>
      <c r="E37" s="45" t="s">
        <v>131</v>
      </c>
      <c r="F37" s="45"/>
    </row>
    <row r="38">
      <c r="A38" s="19"/>
      <c r="B38" s="39"/>
      <c r="C38" s="44" t="s">
        <v>166</v>
      </c>
      <c r="D38" s="44" t="s">
        <v>167</v>
      </c>
      <c r="E38" s="45" t="s">
        <v>131</v>
      </c>
      <c r="F38" s="45"/>
    </row>
    <row r="39">
      <c r="A39" s="19"/>
      <c r="B39" s="39"/>
      <c r="C39" s="43" t="s">
        <v>86</v>
      </c>
      <c r="D39" s="44" t="s">
        <v>168</v>
      </c>
      <c r="E39" s="45" t="s">
        <v>131</v>
      </c>
      <c r="F39" s="45"/>
    </row>
    <row r="40">
      <c r="A40" s="19"/>
      <c r="B40" s="39"/>
      <c r="C40" s="43" t="s">
        <v>88</v>
      </c>
      <c r="D40" s="44" t="s">
        <v>169</v>
      </c>
      <c r="E40" s="45">
        <v>1.43927305298E9</v>
      </c>
      <c r="F40" s="45"/>
    </row>
    <row r="41">
      <c r="A41" s="19"/>
      <c r="B41" s="18"/>
      <c r="C41" s="43" t="s">
        <v>90</v>
      </c>
      <c r="D41" s="44" t="s">
        <v>170</v>
      </c>
      <c r="E41" s="45">
        <v>4.06400486886E9</v>
      </c>
      <c r="F41" s="45"/>
    </row>
    <row r="42">
      <c r="A42" s="19"/>
      <c r="B42" s="39"/>
      <c r="C42" s="51" t="s">
        <v>171</v>
      </c>
      <c r="D42" s="44"/>
      <c r="E42" s="45"/>
      <c r="F42" s="45"/>
    </row>
    <row r="43">
      <c r="A43" s="19"/>
      <c r="B43" s="39"/>
      <c r="C43" s="43" t="s">
        <v>92</v>
      </c>
      <c r="D43" s="44" t="s">
        <v>172</v>
      </c>
      <c r="E43" s="45">
        <v>7.1888603816E8</v>
      </c>
      <c r="F43" s="45"/>
    </row>
    <row r="44">
      <c r="A44" s="19"/>
      <c r="B44" s="39"/>
      <c r="C44" s="43" t="s">
        <v>94</v>
      </c>
      <c r="D44" s="44" t="s">
        <v>173</v>
      </c>
      <c r="E44" s="45" t="s">
        <v>131</v>
      </c>
      <c r="F44" s="45"/>
    </row>
    <row r="45">
      <c r="A45" s="19"/>
      <c r="B45" s="39"/>
      <c r="C45" s="43" t="s">
        <v>99</v>
      </c>
      <c r="D45" s="44" t="s">
        <v>174</v>
      </c>
      <c r="E45" s="45">
        <v>7.1888603816E8</v>
      </c>
      <c r="F45" s="45"/>
    </row>
    <row r="46">
      <c r="A46" s="19"/>
      <c r="B46" s="39"/>
      <c r="C46" s="43" t="s">
        <v>175</v>
      </c>
      <c r="D46" s="44" t="s">
        <v>176</v>
      </c>
      <c r="E46" s="45" t="s">
        <v>131</v>
      </c>
      <c r="F46" s="45"/>
    </row>
    <row r="47">
      <c r="A47" s="19"/>
      <c r="B47" s="18"/>
      <c r="C47" s="43" t="s">
        <v>113</v>
      </c>
      <c r="D47" s="44" t="s">
        <v>177</v>
      </c>
      <c r="E47" s="45">
        <v>7.1888603816E8</v>
      </c>
      <c r="F47" s="45"/>
    </row>
    <row r="48">
      <c r="A48" s="19"/>
      <c r="B48" s="39"/>
      <c r="C48" s="51" t="s">
        <v>178</v>
      </c>
      <c r="D48" s="44"/>
      <c r="E48" s="45"/>
      <c r="F48" s="45"/>
    </row>
    <row r="49">
      <c r="A49" s="19"/>
      <c r="B49" s="39"/>
      <c r="C49" s="43" t="s">
        <v>115</v>
      </c>
      <c r="D49" s="44" t="s">
        <v>179</v>
      </c>
      <c r="E49" s="45" t="s">
        <v>131</v>
      </c>
      <c r="F49" s="45"/>
    </row>
    <row r="50">
      <c r="A50" s="19"/>
      <c r="B50" s="39"/>
      <c r="C50" s="43" t="s">
        <v>180</v>
      </c>
      <c r="D50" s="44" t="s">
        <v>181</v>
      </c>
      <c r="E50" s="45" t="s">
        <v>131</v>
      </c>
      <c r="F50" s="45"/>
    </row>
    <row r="51">
      <c r="A51" s="19"/>
      <c r="B51" s="39"/>
      <c r="C51" s="43" t="s">
        <v>182</v>
      </c>
      <c r="D51" s="44" t="s">
        <v>183</v>
      </c>
      <c r="E51" s="45" t="s">
        <v>131</v>
      </c>
      <c r="F51" s="45"/>
    </row>
    <row r="52">
      <c r="A52" s="19"/>
      <c r="B52" s="39"/>
      <c r="C52" s="43" t="s">
        <v>184</v>
      </c>
      <c r="D52" s="44" t="s">
        <v>185</v>
      </c>
      <c r="E52" s="45" t="s">
        <v>131</v>
      </c>
      <c r="F52" s="45"/>
    </row>
    <row r="53">
      <c r="A53" s="19"/>
      <c r="B53" s="39"/>
      <c r="C53" s="43" t="s">
        <v>186</v>
      </c>
      <c r="D53" s="44" t="s">
        <v>149</v>
      </c>
      <c r="E53" s="45" t="s">
        <v>131</v>
      </c>
      <c r="F53" s="45"/>
    </row>
    <row r="54">
      <c r="A54" s="19"/>
      <c r="B54" s="39"/>
      <c r="C54" s="44" t="s">
        <v>187</v>
      </c>
      <c r="D54" s="44" t="s">
        <v>188</v>
      </c>
      <c r="E54" s="45" t="s">
        <v>131</v>
      </c>
      <c r="F54" s="45"/>
    </row>
    <row r="55">
      <c r="A55" s="19"/>
      <c r="B55" s="39"/>
      <c r="C55" s="44" t="s">
        <v>189</v>
      </c>
      <c r="D55" s="44" t="s">
        <v>190</v>
      </c>
      <c r="E55" s="45" t="s">
        <v>131</v>
      </c>
      <c r="F55" s="45"/>
    </row>
    <row r="56">
      <c r="A56" s="19"/>
      <c r="B56" s="39"/>
      <c r="C56" s="43" t="s">
        <v>191</v>
      </c>
      <c r="D56" s="44" t="s">
        <v>192</v>
      </c>
      <c r="E56" s="45" t="s">
        <v>131</v>
      </c>
      <c r="F56" s="45"/>
    </row>
    <row r="57">
      <c r="A57" s="19"/>
      <c r="B57" s="39"/>
      <c r="C57" s="43" t="s">
        <v>193</v>
      </c>
      <c r="D57" s="44" t="s">
        <v>194</v>
      </c>
      <c r="E57" s="45" t="s">
        <v>131</v>
      </c>
      <c r="F57" s="45"/>
    </row>
    <row r="58">
      <c r="A58" s="19"/>
      <c r="B58" s="39"/>
      <c r="C58" s="43" t="s">
        <v>195</v>
      </c>
      <c r="D58" s="44" t="s">
        <v>196</v>
      </c>
      <c r="E58" s="45">
        <v>7.1888603816E8</v>
      </c>
      <c r="F58" s="45"/>
    </row>
    <row r="59">
      <c r="A59" s="19"/>
      <c r="B59" s="18"/>
      <c r="C59" s="43" t="s">
        <v>197</v>
      </c>
      <c r="D59" s="44" t="s">
        <v>19</v>
      </c>
      <c r="E59" s="45">
        <v>4.78289090702E9</v>
      </c>
      <c r="F59" s="45"/>
    </row>
    <row r="60">
      <c r="A60" s="19"/>
      <c r="B60" s="39"/>
      <c r="C60" s="47" t="s">
        <v>198</v>
      </c>
      <c r="D60" s="48"/>
      <c r="E60" s="49"/>
      <c r="F60" s="52"/>
    </row>
    <row r="61">
      <c r="A61" s="19"/>
      <c r="B61" s="39"/>
      <c r="C61" s="43" t="s">
        <v>199</v>
      </c>
      <c r="D61" s="44" t="s">
        <v>200</v>
      </c>
      <c r="E61" s="45">
        <v>9.815892885E8</v>
      </c>
      <c r="F61" s="45"/>
    </row>
    <row r="62">
      <c r="A62" s="19"/>
      <c r="B62" s="39"/>
      <c r="C62" s="43" t="s">
        <v>201</v>
      </c>
      <c r="D62" s="44" t="s">
        <v>202</v>
      </c>
      <c r="E62" s="45" t="s">
        <v>131</v>
      </c>
      <c r="F62" s="45"/>
    </row>
    <row r="63">
      <c r="A63" s="19"/>
      <c r="B63" s="18"/>
      <c r="C63" s="43" t="s">
        <v>203</v>
      </c>
      <c r="D63" s="44" t="s">
        <v>204</v>
      </c>
      <c r="E63" s="45">
        <v>9.815892885E8</v>
      </c>
      <c r="F63" s="45"/>
    </row>
    <row r="64">
      <c r="A64" s="19"/>
      <c r="B64" s="39"/>
      <c r="C64" s="47" t="s">
        <v>205</v>
      </c>
      <c r="D64" s="48"/>
      <c r="E64" s="49"/>
      <c r="F64" s="52"/>
    </row>
    <row r="65">
      <c r="A65" s="19"/>
      <c r="B65" s="39"/>
      <c r="C65" s="43" t="s">
        <v>206</v>
      </c>
      <c r="D65" s="44" t="s">
        <v>207</v>
      </c>
      <c r="E65" s="45" t="s">
        <v>131</v>
      </c>
      <c r="F65" s="45"/>
    </row>
    <row r="66">
      <c r="A66" s="19"/>
      <c r="B66" s="39"/>
      <c r="C66" s="43" t="s">
        <v>208</v>
      </c>
      <c r="D66" s="44" t="s">
        <v>209</v>
      </c>
      <c r="E66" s="45" t="s">
        <v>131</v>
      </c>
      <c r="F66" s="45"/>
    </row>
    <row r="67">
      <c r="A67" s="19"/>
      <c r="B67" s="39"/>
      <c r="C67" s="43" t="s">
        <v>210</v>
      </c>
      <c r="D67" s="44" t="s">
        <v>211</v>
      </c>
      <c r="E67" s="45" t="s">
        <v>131</v>
      </c>
      <c r="F67" s="45"/>
    </row>
    <row r="68">
      <c r="A68" s="19"/>
      <c r="B68" s="39"/>
      <c r="C68" s="43" t="s">
        <v>212</v>
      </c>
      <c r="D68" s="44" t="s">
        <v>213</v>
      </c>
      <c r="E68" s="45" t="s">
        <v>131</v>
      </c>
      <c r="F68" s="45"/>
    </row>
    <row r="69">
      <c r="A69" s="19"/>
      <c r="B69" s="39"/>
      <c r="C69" s="43" t="s">
        <v>214</v>
      </c>
      <c r="D69" s="44" t="s">
        <v>149</v>
      </c>
      <c r="E69" s="45" t="s">
        <v>131</v>
      </c>
      <c r="F69" s="45"/>
    </row>
    <row r="70">
      <c r="A70" s="19"/>
      <c r="B70" s="39"/>
      <c r="C70" s="44" t="s">
        <v>215</v>
      </c>
      <c r="D70" s="44" t="s">
        <v>216</v>
      </c>
      <c r="E70" s="45" t="s">
        <v>131</v>
      </c>
      <c r="F70" s="45"/>
    </row>
    <row r="71">
      <c r="A71" s="19"/>
      <c r="B71" s="39"/>
      <c r="C71" s="44" t="s">
        <v>217</v>
      </c>
      <c r="D71" s="44" t="s">
        <v>218</v>
      </c>
      <c r="E71" s="45" t="s">
        <v>131</v>
      </c>
      <c r="F71" s="45"/>
    </row>
    <row r="72">
      <c r="A72" s="19"/>
      <c r="B72" s="39"/>
      <c r="C72" s="43" t="s">
        <v>219</v>
      </c>
      <c r="D72" s="44" t="s">
        <v>220</v>
      </c>
      <c r="E72" s="45" t="s">
        <v>131</v>
      </c>
      <c r="F72" s="45"/>
    </row>
    <row r="73">
      <c r="A73" s="19"/>
      <c r="B73" s="39"/>
      <c r="C73" s="43" t="s">
        <v>221</v>
      </c>
      <c r="D73" s="44" t="s">
        <v>18</v>
      </c>
      <c r="E73" s="45">
        <v>9.815892885E8</v>
      </c>
      <c r="F73" s="45"/>
    </row>
    <row r="74">
      <c r="A74" s="19"/>
      <c r="B74" s="39"/>
      <c r="C74" s="43" t="s">
        <v>222</v>
      </c>
      <c r="D74" s="44" t="s">
        <v>223</v>
      </c>
      <c r="E74" s="45">
        <v>5.76448019552E9</v>
      </c>
      <c r="F74" s="45"/>
    </row>
    <row r="75">
      <c r="A75" s="19"/>
      <c r="B75" s="18"/>
      <c r="C75" s="43" t="s">
        <v>224</v>
      </c>
      <c r="D75" s="44" t="s">
        <v>225</v>
      </c>
      <c r="E75" s="45">
        <v>2.696362726308E10</v>
      </c>
      <c r="F75" s="45"/>
    </row>
    <row r="76">
      <c r="A76" s="19"/>
      <c r="B76" s="39"/>
      <c r="C76" s="47" t="s">
        <v>226</v>
      </c>
      <c r="D76" s="53"/>
      <c r="E76" s="54"/>
      <c r="F76" s="55"/>
    </row>
    <row r="77">
      <c r="A77" s="19"/>
      <c r="B77" s="39"/>
      <c r="C77" s="43" t="s">
        <v>227</v>
      </c>
      <c r="D77" s="44" t="s">
        <v>228</v>
      </c>
      <c r="E77" s="56">
        <v>0.1507</v>
      </c>
      <c r="F77" s="51"/>
    </row>
    <row r="78">
      <c r="A78" s="19"/>
      <c r="B78" s="39"/>
      <c r="C78" s="43" t="s">
        <v>229</v>
      </c>
      <c r="D78" s="44" t="s">
        <v>230</v>
      </c>
      <c r="E78" s="56">
        <v>0.1774</v>
      </c>
      <c r="F78" s="51"/>
    </row>
    <row r="79">
      <c r="A79" s="19"/>
      <c r="B79" s="39"/>
      <c r="C79" s="43" t="s">
        <v>231</v>
      </c>
      <c r="D79" s="44" t="s">
        <v>232</v>
      </c>
      <c r="E79" s="56">
        <v>0.2138</v>
      </c>
      <c r="F79" s="51"/>
    </row>
    <row r="80">
      <c r="A80" s="19"/>
      <c r="B80" s="39"/>
      <c r="C80" s="43" t="s">
        <v>233</v>
      </c>
      <c r="D80" s="44" t="s">
        <v>234</v>
      </c>
      <c r="E80" s="56">
        <v>0.025</v>
      </c>
      <c r="F80" s="51"/>
    </row>
    <row r="81">
      <c r="A81" s="19"/>
      <c r="B81" s="39"/>
      <c r="C81" s="43" t="s">
        <v>235</v>
      </c>
      <c r="D81" s="44" t="s">
        <v>236</v>
      </c>
      <c r="E81" s="56">
        <v>0.025</v>
      </c>
      <c r="F81" s="51"/>
    </row>
    <row r="82">
      <c r="A82" s="19"/>
      <c r="B82" s="39"/>
      <c r="C82" s="43" t="s">
        <v>237</v>
      </c>
      <c r="D82" s="44" t="s">
        <v>238</v>
      </c>
      <c r="E82" s="56">
        <v>0.0</v>
      </c>
      <c r="F82" s="51"/>
    </row>
    <row r="83">
      <c r="A83" s="19"/>
      <c r="B83" s="39"/>
      <c r="C83" s="43" t="s">
        <v>239</v>
      </c>
      <c r="D83" s="44" t="s">
        <v>240</v>
      </c>
      <c r="E83" s="56">
        <v>0.0</v>
      </c>
      <c r="F83" s="51"/>
    </row>
    <row r="84">
      <c r="A84" s="19"/>
      <c r="B84" s="18"/>
      <c r="C84" s="43" t="s">
        <v>241</v>
      </c>
      <c r="D84" s="44" t="s">
        <v>242</v>
      </c>
      <c r="E84" s="56">
        <v>0.0807</v>
      </c>
      <c r="F84" s="51"/>
    </row>
    <row r="85">
      <c r="A85" s="19"/>
      <c r="B85" s="39"/>
      <c r="C85" s="47" t="s">
        <v>243</v>
      </c>
      <c r="D85" s="48"/>
      <c r="E85" s="49"/>
      <c r="F85" s="52"/>
    </row>
    <row r="86">
      <c r="A86" s="19"/>
      <c r="B86" s="39"/>
      <c r="C86" s="43" t="s">
        <v>244</v>
      </c>
      <c r="D86" s="57" t="s">
        <v>245</v>
      </c>
      <c r="E86" s="45" t="s">
        <v>131</v>
      </c>
      <c r="F86" s="45"/>
    </row>
    <row r="87">
      <c r="A87" s="19"/>
      <c r="B87" s="39"/>
      <c r="C87" s="43" t="s">
        <v>246</v>
      </c>
      <c r="D87" s="57" t="s">
        <v>247</v>
      </c>
      <c r="E87" s="45" t="s">
        <v>131</v>
      </c>
      <c r="F87" s="45"/>
    </row>
    <row r="88">
      <c r="A88" s="19"/>
      <c r="B88" s="18"/>
      <c r="C88" s="43" t="s">
        <v>248</v>
      </c>
      <c r="D88" s="57" t="s">
        <v>249</v>
      </c>
      <c r="E88" s="45">
        <v>1.7276771201E8</v>
      </c>
      <c r="F88" s="46"/>
    </row>
    <row r="89">
      <c r="A89" s="58"/>
      <c r="B89" s="58"/>
      <c r="C89" s="58"/>
      <c r="D89" s="58"/>
      <c r="E89" s="59"/>
      <c r="F89" s="60"/>
    </row>
    <row r="90">
      <c r="A90" s="58"/>
      <c r="B90" s="58"/>
      <c r="C90" s="61" t="s">
        <v>250</v>
      </c>
      <c r="D90" s="58"/>
    </row>
    <row r="91">
      <c r="A91" s="58"/>
      <c r="B91" s="58"/>
      <c r="C91" s="62"/>
      <c r="D91" s="63"/>
      <c r="E91" s="64"/>
      <c r="F91" s="64"/>
    </row>
    <row r="92">
      <c r="A92" s="58"/>
      <c r="B92" s="58"/>
      <c r="C92" s="58"/>
      <c r="D92" s="58"/>
      <c r="E92" s="59"/>
      <c r="F92" s="60"/>
    </row>
    <row r="93">
      <c r="A93" s="58"/>
      <c r="B93" s="58"/>
      <c r="C93" s="58"/>
      <c r="D93" s="58"/>
      <c r="E93" s="59"/>
      <c r="F93" s="60"/>
    </row>
    <row r="94">
      <c r="A94" s="58"/>
      <c r="B94" s="58"/>
      <c r="C94" s="58"/>
      <c r="D94" s="58"/>
      <c r="E94" s="59"/>
      <c r="F94" s="60"/>
    </row>
  </sheetData>
  <mergeCells count="1">
    <mergeCell ref="E5:F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7" width="16.63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65" t="s">
        <v>251</v>
      </c>
      <c r="D5" s="4"/>
      <c r="E5" s="36" t="s">
        <v>252</v>
      </c>
      <c r="F5" s="37"/>
      <c r="G5" s="37"/>
    </row>
    <row r="6">
      <c r="A6" s="1"/>
      <c r="B6" s="4"/>
      <c r="C6" s="4"/>
      <c r="D6" s="4"/>
      <c r="E6" s="11" t="s">
        <v>119</v>
      </c>
      <c r="F6" s="12" t="s">
        <v>120</v>
      </c>
      <c r="G6" s="12" t="s">
        <v>253</v>
      </c>
    </row>
    <row r="7">
      <c r="A7" s="13"/>
      <c r="B7" s="14"/>
      <c r="C7" s="15" t="s">
        <v>1</v>
      </c>
      <c r="D7" s="66"/>
      <c r="E7" s="67" t="s">
        <v>254</v>
      </c>
      <c r="F7" s="67" t="s">
        <v>255</v>
      </c>
      <c r="G7" s="68" t="s">
        <v>256</v>
      </c>
    </row>
    <row r="8">
      <c r="A8" s="69"/>
      <c r="B8" s="69"/>
      <c r="C8" s="40" t="s">
        <v>257</v>
      </c>
      <c r="D8" s="19"/>
      <c r="E8" s="70"/>
      <c r="F8" s="70"/>
      <c r="G8" s="71"/>
    </row>
    <row r="9">
      <c r="A9" s="72"/>
      <c r="B9" s="72"/>
      <c r="C9" s="72" t="s">
        <v>2</v>
      </c>
      <c r="D9" s="73" t="s">
        <v>258</v>
      </c>
      <c r="E9" s="45">
        <v>3.575214568E7</v>
      </c>
      <c r="F9" s="45">
        <v>3.575214568E7</v>
      </c>
      <c r="G9" s="74"/>
    </row>
    <row r="10">
      <c r="A10" s="72"/>
      <c r="B10" s="72"/>
      <c r="C10" s="72"/>
      <c r="D10" s="73" t="s">
        <v>259</v>
      </c>
      <c r="E10" s="45">
        <v>3.139974135E8</v>
      </c>
      <c r="F10" s="45">
        <v>3.139974135E8</v>
      </c>
      <c r="G10" s="74"/>
    </row>
    <row r="11">
      <c r="A11" s="72"/>
      <c r="B11" s="72"/>
      <c r="C11" s="72" t="s">
        <v>5</v>
      </c>
      <c r="D11" s="73" t="s">
        <v>260</v>
      </c>
      <c r="E11" s="45">
        <v>7.218353546394E10</v>
      </c>
      <c r="F11" s="45">
        <v>7.218353546394E10</v>
      </c>
      <c r="G11" s="74"/>
    </row>
    <row r="12">
      <c r="A12" s="72"/>
      <c r="B12" s="72"/>
      <c r="C12" s="72"/>
      <c r="D12" s="73" t="s">
        <v>261</v>
      </c>
      <c r="E12" s="45">
        <v>2.005859180908E10</v>
      </c>
      <c r="F12" s="45">
        <v>2.005859180908E10</v>
      </c>
      <c r="G12" s="74"/>
    </row>
    <row r="13">
      <c r="A13" s="72"/>
      <c r="B13" s="72"/>
      <c r="C13" s="72" t="s">
        <v>10</v>
      </c>
      <c r="D13" s="73" t="s">
        <v>262</v>
      </c>
      <c r="E13" s="45" t="s">
        <v>131</v>
      </c>
      <c r="F13" s="45" t="s">
        <v>131</v>
      </c>
      <c r="G13" s="74"/>
    </row>
    <row r="14">
      <c r="A14" s="69"/>
      <c r="B14" s="69"/>
      <c r="C14" s="72" t="s">
        <v>13</v>
      </c>
      <c r="D14" s="73" t="s">
        <v>263</v>
      </c>
      <c r="E14" s="45">
        <v>-5.78386680644E9</v>
      </c>
      <c r="F14" s="45">
        <v>-5.78386680644E9</v>
      </c>
      <c r="G14" s="74"/>
    </row>
    <row r="15">
      <c r="A15" s="72"/>
      <c r="B15" s="72"/>
      <c r="C15" s="72" t="s">
        <v>16</v>
      </c>
      <c r="D15" s="73" t="s">
        <v>264</v>
      </c>
      <c r="E15" s="45">
        <v>2.28292659228E9</v>
      </c>
      <c r="F15" s="45">
        <v>2.28292659228E9</v>
      </c>
      <c r="G15" s="74"/>
    </row>
    <row r="16">
      <c r="A16" s="69"/>
      <c r="B16" s="69"/>
      <c r="C16" s="72"/>
      <c r="D16" s="73" t="s">
        <v>265</v>
      </c>
      <c r="E16" s="45" t="s">
        <v>131</v>
      </c>
      <c r="F16" s="45" t="s">
        <v>131</v>
      </c>
      <c r="G16" s="74"/>
    </row>
    <row r="17">
      <c r="A17" s="72"/>
      <c r="B17" s="72"/>
      <c r="C17" s="72"/>
      <c r="D17" s="73" t="s">
        <v>266</v>
      </c>
      <c r="E17" s="45">
        <v>2.28292659228E9</v>
      </c>
      <c r="F17" s="45">
        <v>2.28292659228E9</v>
      </c>
      <c r="G17" s="74"/>
    </row>
    <row r="18">
      <c r="A18" s="72"/>
      <c r="B18" s="72"/>
      <c r="C18" s="72" t="s">
        <v>20</v>
      </c>
      <c r="D18" s="75" t="s">
        <v>267</v>
      </c>
      <c r="E18" s="45">
        <v>1.0609776356E8</v>
      </c>
      <c r="F18" s="45">
        <v>1.0609776356E8</v>
      </c>
      <c r="G18" s="76"/>
    </row>
    <row r="19">
      <c r="A19" s="72"/>
      <c r="B19" s="72"/>
      <c r="C19" s="72"/>
      <c r="D19" s="75" t="s">
        <v>268</v>
      </c>
      <c r="E19" s="45" t="s">
        <v>131</v>
      </c>
      <c r="F19" s="45" t="s">
        <v>131</v>
      </c>
      <c r="G19" s="74"/>
    </row>
    <row r="20">
      <c r="A20" s="69"/>
      <c r="B20" s="69"/>
      <c r="C20" s="40"/>
      <c r="D20" s="75" t="s">
        <v>269</v>
      </c>
      <c r="E20" s="45" t="s">
        <v>131</v>
      </c>
      <c r="F20" s="45" t="s">
        <v>131</v>
      </c>
      <c r="G20" s="74"/>
    </row>
    <row r="21">
      <c r="A21" s="72"/>
      <c r="B21" s="72"/>
      <c r="C21" s="72"/>
      <c r="D21" s="73" t="s">
        <v>270</v>
      </c>
      <c r="E21" s="45">
        <v>1.0609776356E8</v>
      </c>
      <c r="F21" s="45">
        <v>1.0609776356E8</v>
      </c>
      <c r="G21" s="74"/>
    </row>
    <row r="22">
      <c r="A22" s="72"/>
      <c r="B22" s="72"/>
      <c r="C22" s="72" t="s">
        <v>23</v>
      </c>
      <c r="D22" s="73" t="s">
        <v>271</v>
      </c>
      <c r="E22" s="45">
        <v>2.347565611E7</v>
      </c>
      <c r="F22" s="45">
        <v>2.347565611E7</v>
      </c>
      <c r="G22" s="74"/>
    </row>
    <row r="23">
      <c r="A23" s="72"/>
      <c r="B23" s="72"/>
      <c r="C23" s="72" t="s">
        <v>26</v>
      </c>
      <c r="D23" s="73" t="s">
        <v>272</v>
      </c>
      <c r="E23" s="45">
        <v>1.75657969382E9</v>
      </c>
      <c r="F23" s="45">
        <v>1.75657969382E9</v>
      </c>
      <c r="G23" s="76"/>
    </row>
    <row r="24">
      <c r="A24" s="72"/>
      <c r="B24" s="72"/>
      <c r="C24" s="72" t="s">
        <v>28</v>
      </c>
      <c r="D24" s="73" t="s">
        <v>273</v>
      </c>
      <c r="E24" s="45">
        <v>-4.0640488853E8</v>
      </c>
      <c r="F24" s="45">
        <v>-4.0640488853E8</v>
      </c>
      <c r="G24" s="74"/>
    </row>
    <row r="25">
      <c r="A25" s="72"/>
      <c r="B25" s="72"/>
      <c r="C25" s="72" t="s">
        <v>30</v>
      </c>
      <c r="D25" s="73" t="s">
        <v>274</v>
      </c>
      <c r="E25" s="45" t="s">
        <v>131</v>
      </c>
      <c r="F25" s="45" t="s">
        <v>131</v>
      </c>
      <c r="G25" s="74"/>
    </row>
    <row r="26">
      <c r="A26" s="69"/>
      <c r="B26" s="69"/>
      <c r="C26" s="72"/>
      <c r="D26" s="73" t="s">
        <v>275</v>
      </c>
      <c r="E26" s="45">
        <v>7.0473631749E9</v>
      </c>
      <c r="F26" s="45">
        <v>7.0473631749E9</v>
      </c>
      <c r="G26" s="77"/>
    </row>
    <row r="27">
      <c r="A27" s="72"/>
      <c r="B27" s="72"/>
      <c r="C27" s="72" t="s">
        <v>33</v>
      </c>
      <c r="D27" s="73" t="s">
        <v>276</v>
      </c>
      <c r="E27" s="45">
        <v>9.76180480179E10</v>
      </c>
      <c r="F27" s="45">
        <v>9.76180480179E10</v>
      </c>
      <c r="G27" s="74"/>
    </row>
    <row r="28">
      <c r="A28" s="72"/>
      <c r="B28" s="40"/>
      <c r="C28" s="78" t="s">
        <v>277</v>
      </c>
      <c r="D28" s="79"/>
      <c r="E28" s="80"/>
      <c r="F28" s="80"/>
      <c r="G28" s="81"/>
    </row>
    <row r="29">
      <c r="A29" s="69"/>
      <c r="B29" s="69"/>
      <c r="C29" s="82" t="s">
        <v>38</v>
      </c>
      <c r="D29" s="73" t="s">
        <v>278</v>
      </c>
      <c r="E29" s="45">
        <v>8.220898431389E10</v>
      </c>
      <c r="F29" s="45">
        <v>8.220898431389E10</v>
      </c>
      <c r="G29" s="74"/>
    </row>
    <row r="30">
      <c r="A30" s="72"/>
      <c r="B30" s="72"/>
      <c r="C30" s="82" t="s">
        <v>42</v>
      </c>
      <c r="D30" s="73" t="s">
        <v>279</v>
      </c>
      <c r="E30" s="45">
        <v>607218.56</v>
      </c>
      <c r="F30" s="45">
        <v>607218.56</v>
      </c>
      <c r="G30" s="74"/>
    </row>
    <row r="31">
      <c r="A31" s="72"/>
      <c r="B31" s="72"/>
      <c r="C31" s="82" t="s">
        <v>46</v>
      </c>
      <c r="D31" s="73" t="s">
        <v>280</v>
      </c>
      <c r="E31" s="45">
        <v>2.52714432003E9</v>
      </c>
      <c r="F31" s="45">
        <v>2.52714432003E9</v>
      </c>
      <c r="G31" s="74"/>
    </row>
    <row r="32">
      <c r="A32" s="72"/>
      <c r="B32" s="72"/>
      <c r="C32" s="72"/>
      <c r="D32" s="73" t="s">
        <v>265</v>
      </c>
      <c r="E32" s="45">
        <v>2.49815262983E9</v>
      </c>
      <c r="F32" s="45">
        <v>2.49815262983E9</v>
      </c>
      <c r="G32" s="74"/>
    </row>
    <row r="33">
      <c r="A33" s="69"/>
      <c r="B33" s="69"/>
      <c r="C33" s="72"/>
      <c r="D33" s="73" t="s">
        <v>281</v>
      </c>
      <c r="E33" s="45">
        <v>2.89916902E7</v>
      </c>
      <c r="F33" s="45">
        <v>2.89916902E7</v>
      </c>
      <c r="G33" s="74"/>
    </row>
    <row r="34">
      <c r="A34" s="72"/>
      <c r="B34" s="72"/>
      <c r="C34" s="72"/>
      <c r="D34" s="73" t="s">
        <v>282</v>
      </c>
      <c r="E34" s="45">
        <v>7.37803424358E9</v>
      </c>
      <c r="F34" s="45">
        <v>7.37803424358E9</v>
      </c>
      <c r="G34" s="74"/>
    </row>
    <row r="35">
      <c r="A35" s="72"/>
      <c r="B35" s="72"/>
      <c r="C35" s="82" t="s">
        <v>49</v>
      </c>
      <c r="D35" s="73" t="s">
        <v>283</v>
      </c>
      <c r="E35" s="45">
        <v>9.211477009606E10</v>
      </c>
      <c r="F35" s="45">
        <v>9.211477009606E10</v>
      </c>
      <c r="G35" s="74"/>
    </row>
    <row r="36">
      <c r="A36" s="72"/>
      <c r="B36" s="72"/>
      <c r="C36" s="78" t="s">
        <v>284</v>
      </c>
      <c r="D36" s="79"/>
      <c r="E36" s="80"/>
      <c r="F36" s="80"/>
      <c r="G36" s="81"/>
    </row>
    <row r="37">
      <c r="A37" s="83"/>
      <c r="B37" s="83"/>
      <c r="C37" s="82" t="s">
        <v>53</v>
      </c>
      <c r="D37" s="73" t="s">
        <v>285</v>
      </c>
      <c r="E37" s="45">
        <v>4.00840459298E9</v>
      </c>
      <c r="F37" s="45">
        <v>4.00840459298E9</v>
      </c>
      <c r="G37" s="74" t="s">
        <v>125</v>
      </c>
    </row>
    <row r="38">
      <c r="A38" s="61"/>
      <c r="B38" s="61"/>
      <c r="C38" s="82" t="s">
        <v>59</v>
      </c>
      <c r="D38" s="73" t="s">
        <v>286</v>
      </c>
      <c r="E38" s="45">
        <v>4.00840459298E9</v>
      </c>
      <c r="F38" s="45">
        <v>4.00840459298E9</v>
      </c>
      <c r="G38" s="74"/>
    </row>
    <row r="39">
      <c r="A39" s="83"/>
      <c r="B39" s="83"/>
      <c r="C39" s="82" t="s">
        <v>62</v>
      </c>
      <c r="D39" s="73" t="s">
        <v>287</v>
      </c>
      <c r="E39" s="45" t="s">
        <v>131</v>
      </c>
      <c r="F39" s="45" t="s">
        <v>131</v>
      </c>
      <c r="G39" s="74"/>
    </row>
    <row r="40">
      <c r="A40" s="83"/>
      <c r="B40" s="83"/>
      <c r="C40" s="82" t="s">
        <v>67</v>
      </c>
      <c r="D40" s="73" t="s">
        <v>288</v>
      </c>
      <c r="E40" s="45">
        <v>1.40694915296E9</v>
      </c>
      <c r="F40" s="45">
        <v>1.40694915296E9</v>
      </c>
      <c r="G40" s="74" t="s">
        <v>127</v>
      </c>
    </row>
    <row r="41">
      <c r="A41" s="83"/>
      <c r="B41" s="83"/>
      <c r="C41" s="82" t="s">
        <v>70</v>
      </c>
      <c r="D41" s="73" t="s">
        <v>289</v>
      </c>
      <c r="E41" s="45">
        <v>8.79241759E7</v>
      </c>
      <c r="F41" s="45">
        <v>8.79241759E7</v>
      </c>
      <c r="G41" s="74" t="s">
        <v>129</v>
      </c>
    </row>
    <row r="42">
      <c r="A42" s="83"/>
      <c r="B42" s="83"/>
      <c r="C42" s="82" t="s">
        <v>73</v>
      </c>
      <c r="D42" s="73" t="s">
        <v>290</v>
      </c>
      <c r="E42" s="45" t="s">
        <v>131</v>
      </c>
      <c r="F42" s="45" t="s">
        <v>131</v>
      </c>
      <c r="G42" s="74"/>
    </row>
    <row r="43">
      <c r="A43" s="1"/>
      <c r="B43" s="1"/>
      <c r="C43" s="82" t="s">
        <v>75</v>
      </c>
      <c r="D43" s="73" t="s">
        <v>291</v>
      </c>
      <c r="E43" s="45" t="s">
        <v>131</v>
      </c>
      <c r="F43" s="45" t="s">
        <v>131</v>
      </c>
      <c r="G43" s="74"/>
    </row>
    <row r="44">
      <c r="A44" s="1"/>
      <c r="B44" s="83"/>
      <c r="C44" s="82" t="s">
        <v>77</v>
      </c>
      <c r="D44" s="73" t="s">
        <v>292</v>
      </c>
      <c r="E44" s="45">
        <v>5.50327792184E9</v>
      </c>
      <c r="F44" s="45">
        <v>5.50327792184E9</v>
      </c>
      <c r="G44" s="74" t="s">
        <v>133</v>
      </c>
    </row>
    <row r="45">
      <c r="A45" s="1"/>
      <c r="B45" s="83"/>
      <c r="C45" s="72"/>
      <c r="D45" s="73"/>
      <c r="E45" s="45"/>
      <c r="F45" s="45"/>
      <c r="G45" s="74"/>
    </row>
    <row r="46">
      <c r="A46" s="1"/>
      <c r="B46" s="83"/>
      <c r="C46" s="61" t="s">
        <v>250</v>
      </c>
      <c r="D46" s="58"/>
    </row>
    <row r="47">
      <c r="A47" s="7"/>
      <c r="B47" s="83"/>
      <c r="C47" s="62"/>
      <c r="D47" s="63"/>
      <c r="E47" s="64"/>
      <c r="F47" s="64"/>
      <c r="G47" s="64"/>
    </row>
    <row r="48">
      <c r="A48" s="1"/>
      <c r="B48" s="83"/>
      <c r="C48" s="72"/>
      <c r="D48" s="73"/>
      <c r="E48" s="45"/>
      <c r="F48" s="45"/>
      <c r="G48" s="74"/>
    </row>
    <row r="49">
      <c r="A49" s="13"/>
      <c r="B49" s="83"/>
      <c r="C49" s="72"/>
      <c r="D49" s="73"/>
      <c r="E49" s="45"/>
      <c r="F49" s="45"/>
      <c r="G49" s="74"/>
    </row>
    <row r="50">
      <c r="A50" s="69"/>
      <c r="B50" s="69"/>
      <c r="C50" s="40"/>
      <c r="D50" s="19"/>
      <c r="E50" s="70"/>
      <c r="F50" s="70"/>
      <c r="G50" s="71"/>
    </row>
  </sheetData>
  <mergeCells count="1">
    <mergeCell ref="E5:G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35" t="s">
        <v>293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119</v>
      </c>
      <c r="F6" s="6" t="s">
        <v>120</v>
      </c>
      <c r="G6" s="6" t="s">
        <v>253</v>
      </c>
      <c r="H6" s="6" t="s">
        <v>294</v>
      </c>
      <c r="I6" s="6" t="s">
        <v>295</v>
      </c>
    </row>
    <row r="7">
      <c r="A7" s="13"/>
      <c r="B7" s="14"/>
      <c r="C7" s="15" t="s">
        <v>1</v>
      </c>
      <c r="D7" s="38"/>
      <c r="E7" s="84" t="s">
        <v>252</v>
      </c>
      <c r="F7" s="84" t="s">
        <v>296</v>
      </c>
      <c r="G7" s="84" t="s">
        <v>297</v>
      </c>
      <c r="H7" s="84" t="s">
        <v>298</v>
      </c>
      <c r="I7" s="84" t="s">
        <v>299</v>
      </c>
    </row>
    <row r="8">
      <c r="A8" s="69"/>
      <c r="B8" s="69"/>
      <c r="C8" s="40" t="s">
        <v>300</v>
      </c>
      <c r="D8" s="19"/>
      <c r="E8" s="70"/>
      <c r="F8" s="70"/>
      <c r="G8" s="71"/>
      <c r="H8" s="71"/>
      <c r="I8" s="71"/>
    </row>
    <row r="9">
      <c r="A9" s="72"/>
      <c r="B9" s="72"/>
      <c r="C9" s="72" t="s">
        <v>2</v>
      </c>
      <c r="D9" s="73" t="s">
        <v>170</v>
      </c>
      <c r="E9" s="45">
        <v>4.06400486886E9</v>
      </c>
      <c r="F9" s="45">
        <v>3.34687148745E9</v>
      </c>
      <c r="G9" s="74">
        <v>3.1094262513E9</v>
      </c>
      <c r="H9" s="74">
        <v>2.88618582938E9</v>
      </c>
      <c r="I9" s="74">
        <v>2.60515384672E9</v>
      </c>
    </row>
    <row r="10">
      <c r="A10" s="72"/>
      <c r="B10" s="72"/>
      <c r="C10" s="72" t="s">
        <v>5</v>
      </c>
      <c r="D10" s="73" t="s">
        <v>19</v>
      </c>
      <c r="E10" s="45">
        <v>4.78289090702E9</v>
      </c>
      <c r="F10" s="45">
        <v>3.34687148745E9</v>
      </c>
      <c r="G10" s="74">
        <v>3.1094262513E9</v>
      </c>
      <c r="H10" s="74">
        <v>2.88618582938E9</v>
      </c>
      <c r="I10" s="74">
        <v>2.60515384672E9</v>
      </c>
    </row>
    <row r="11">
      <c r="A11" s="72"/>
      <c r="B11" s="72"/>
      <c r="C11" s="72" t="s">
        <v>10</v>
      </c>
      <c r="D11" s="73" t="s">
        <v>301</v>
      </c>
      <c r="E11" s="45">
        <v>5.76448019552E9</v>
      </c>
      <c r="F11" s="45">
        <v>4.29402846072E9</v>
      </c>
      <c r="G11" s="74">
        <v>4.02178581057E9</v>
      </c>
      <c r="H11" s="74">
        <v>2.9911369416E9</v>
      </c>
      <c r="I11" s="74">
        <v>2.70704051152E9</v>
      </c>
    </row>
    <row r="12">
      <c r="A12" s="72"/>
      <c r="B12" s="72"/>
      <c r="C12" s="72" t="s">
        <v>302</v>
      </c>
      <c r="D12" s="73" t="s">
        <v>303</v>
      </c>
      <c r="E12" s="45" t="s">
        <v>131</v>
      </c>
      <c r="F12" s="45" t="s">
        <v>131</v>
      </c>
      <c r="G12" s="74" t="s">
        <v>131</v>
      </c>
      <c r="H12" s="74" t="s">
        <v>131</v>
      </c>
      <c r="I12" s="74" t="s">
        <v>131</v>
      </c>
    </row>
    <row r="13">
      <c r="A13" s="72"/>
      <c r="B13" s="72"/>
      <c r="C13" s="72" t="s">
        <v>304</v>
      </c>
      <c r="D13" s="73" t="s">
        <v>305</v>
      </c>
      <c r="E13" s="45" t="s">
        <v>131</v>
      </c>
      <c r="F13" s="45" t="s">
        <v>131</v>
      </c>
      <c r="G13" s="74" t="s">
        <v>131</v>
      </c>
      <c r="H13" s="74" t="s">
        <v>131</v>
      </c>
      <c r="I13" s="74" t="s">
        <v>131</v>
      </c>
    </row>
    <row r="14">
      <c r="A14" s="69"/>
      <c r="B14" s="69"/>
      <c r="C14" s="78" t="s">
        <v>306</v>
      </c>
      <c r="D14" s="85"/>
      <c r="E14" s="86"/>
      <c r="F14" s="86"/>
      <c r="G14" s="87"/>
      <c r="H14" s="87"/>
      <c r="I14" s="87"/>
    </row>
    <row r="15">
      <c r="A15" s="72"/>
      <c r="B15" s="72"/>
      <c r="C15" s="72" t="s">
        <v>13</v>
      </c>
      <c r="D15" s="73" t="s">
        <v>307</v>
      </c>
      <c r="E15" s="45">
        <v>2.696362726308E10</v>
      </c>
      <c r="F15" s="45">
        <v>2.422014991622E10</v>
      </c>
      <c r="G15" s="74">
        <v>1.859067804122E10</v>
      </c>
      <c r="H15" s="74">
        <v>1.649348511312E10</v>
      </c>
      <c r="I15" s="74">
        <v>1.195729730571E10</v>
      </c>
    </row>
    <row r="16">
      <c r="A16" s="69"/>
      <c r="B16" s="69"/>
      <c r="C16" s="78" t="s">
        <v>308</v>
      </c>
      <c r="D16" s="85"/>
      <c r="E16" s="86"/>
      <c r="F16" s="86"/>
      <c r="G16" s="87"/>
      <c r="H16" s="87"/>
      <c r="I16" s="87"/>
    </row>
    <row r="17">
      <c r="A17" s="72"/>
      <c r="B17" s="72"/>
      <c r="C17" s="72" t="s">
        <v>16</v>
      </c>
      <c r="D17" s="73" t="s">
        <v>228</v>
      </c>
      <c r="E17" s="56">
        <v>0.1507</v>
      </c>
      <c r="F17" s="56">
        <v>0.1382</v>
      </c>
      <c r="G17" s="88">
        <v>0.1673</v>
      </c>
      <c r="H17" s="88">
        <v>0.175</v>
      </c>
      <c r="I17" s="88">
        <v>0.2179</v>
      </c>
    </row>
    <row r="18">
      <c r="A18" s="72"/>
      <c r="B18" s="72"/>
      <c r="C18" s="72" t="s">
        <v>20</v>
      </c>
      <c r="D18" s="75" t="s">
        <v>309</v>
      </c>
      <c r="E18" s="56">
        <v>0.1774</v>
      </c>
      <c r="F18" s="56">
        <v>0.1382</v>
      </c>
      <c r="G18" s="88">
        <v>0.1673</v>
      </c>
      <c r="H18" s="88">
        <v>0.175</v>
      </c>
      <c r="I18" s="88">
        <v>0.2179</v>
      </c>
    </row>
    <row r="19">
      <c r="A19" s="72"/>
      <c r="B19" s="72"/>
      <c r="C19" s="72" t="s">
        <v>23</v>
      </c>
      <c r="D19" s="75" t="s">
        <v>310</v>
      </c>
      <c r="E19" s="56">
        <v>0.2138</v>
      </c>
      <c r="F19" s="56">
        <v>0.1773</v>
      </c>
      <c r="G19" s="88">
        <v>0.2163</v>
      </c>
      <c r="H19" s="88">
        <v>0.1814</v>
      </c>
      <c r="I19" s="88">
        <v>0.2264</v>
      </c>
    </row>
    <row r="20">
      <c r="A20" s="69"/>
      <c r="B20" s="69"/>
      <c r="C20" s="78" t="s">
        <v>311</v>
      </c>
      <c r="D20" s="85"/>
      <c r="E20" s="86"/>
      <c r="F20" s="86"/>
      <c r="G20" s="87"/>
      <c r="H20" s="87"/>
      <c r="I20" s="87"/>
    </row>
    <row r="21">
      <c r="A21" s="72"/>
      <c r="B21" s="72"/>
      <c r="C21" s="72" t="s">
        <v>26</v>
      </c>
      <c r="D21" s="73" t="s">
        <v>312</v>
      </c>
      <c r="E21" s="56">
        <v>0.025</v>
      </c>
      <c r="F21" s="56">
        <v>0.025</v>
      </c>
      <c r="G21" s="88">
        <v>0.025</v>
      </c>
      <c r="H21" s="88">
        <v>0.02</v>
      </c>
      <c r="I21" s="88">
        <v>0.02</v>
      </c>
    </row>
    <row r="22">
      <c r="A22" s="72"/>
      <c r="B22" s="72"/>
      <c r="C22" s="72" t="s">
        <v>28</v>
      </c>
      <c r="D22" s="73" t="s">
        <v>313</v>
      </c>
      <c r="E22" s="56">
        <v>0.0</v>
      </c>
      <c r="F22" s="56">
        <v>0.0</v>
      </c>
      <c r="G22" s="88">
        <v>0.0</v>
      </c>
      <c r="H22" s="88">
        <v>0.0</v>
      </c>
      <c r="I22" s="88">
        <v>0.0</v>
      </c>
    </row>
    <row r="23">
      <c r="A23" s="72"/>
      <c r="B23" s="72"/>
      <c r="C23" s="72" t="s">
        <v>30</v>
      </c>
      <c r="D23" s="73" t="s">
        <v>314</v>
      </c>
      <c r="E23" s="56">
        <v>0.0</v>
      </c>
      <c r="F23" s="56">
        <v>0.0</v>
      </c>
      <c r="G23" s="88">
        <v>0.0</v>
      </c>
      <c r="H23" s="88">
        <v>0.0</v>
      </c>
      <c r="I23" s="88">
        <v>0.0</v>
      </c>
    </row>
    <row r="24">
      <c r="A24" s="72"/>
      <c r="B24" s="72"/>
      <c r="C24" s="72" t="s">
        <v>33</v>
      </c>
      <c r="D24" s="73" t="s">
        <v>315</v>
      </c>
      <c r="E24" s="56">
        <v>0.025</v>
      </c>
      <c r="F24" s="56">
        <v>0.025</v>
      </c>
      <c r="G24" s="88">
        <v>0.025</v>
      </c>
      <c r="H24" s="88">
        <v>0.02</v>
      </c>
      <c r="I24" s="88">
        <v>0.02</v>
      </c>
    </row>
    <row r="25">
      <c r="A25" s="72"/>
      <c r="B25" s="72"/>
      <c r="C25" s="72" t="s">
        <v>38</v>
      </c>
      <c r="D25" s="73" t="s">
        <v>316</v>
      </c>
      <c r="E25" s="56">
        <v>0.0807</v>
      </c>
      <c r="F25" s="56">
        <v>0.0682</v>
      </c>
      <c r="G25" s="88">
        <v>0.0973</v>
      </c>
      <c r="H25" s="88">
        <v>0.11</v>
      </c>
      <c r="I25" s="88">
        <v>0.1529</v>
      </c>
    </row>
    <row r="26">
      <c r="A26" s="69"/>
      <c r="B26" s="69"/>
      <c r="C26" s="78" t="s">
        <v>317</v>
      </c>
      <c r="D26" s="85"/>
      <c r="E26" s="86"/>
      <c r="F26" s="86"/>
      <c r="G26" s="87"/>
      <c r="H26" s="87"/>
      <c r="I26" s="87"/>
    </row>
    <row r="27">
      <c r="A27" s="72"/>
      <c r="B27" s="72"/>
      <c r="C27" s="72" t="s">
        <v>42</v>
      </c>
      <c r="D27" s="73" t="s">
        <v>318</v>
      </c>
      <c r="E27" s="45" t="s">
        <v>15</v>
      </c>
      <c r="F27" s="45" t="s">
        <v>15</v>
      </c>
      <c r="G27" s="74" t="s">
        <v>15</v>
      </c>
      <c r="H27" s="74" t="s">
        <v>15</v>
      </c>
      <c r="I27" s="74" t="s">
        <v>15</v>
      </c>
    </row>
    <row r="28">
      <c r="A28" s="72"/>
      <c r="B28" s="72"/>
      <c r="C28" s="72" t="s">
        <v>46</v>
      </c>
      <c r="D28" s="73" t="s">
        <v>319</v>
      </c>
      <c r="E28" s="45" t="s">
        <v>15</v>
      </c>
      <c r="F28" s="45" t="s">
        <v>15</v>
      </c>
      <c r="G28" s="74" t="s">
        <v>15</v>
      </c>
      <c r="H28" s="74" t="s">
        <v>15</v>
      </c>
      <c r="I28" s="74" t="s">
        <v>15</v>
      </c>
    </row>
    <row r="29">
      <c r="A29" s="69"/>
      <c r="B29" s="69"/>
      <c r="C29" s="78" t="s">
        <v>320</v>
      </c>
      <c r="D29" s="85"/>
      <c r="E29" s="86"/>
      <c r="F29" s="86"/>
      <c r="G29" s="87"/>
      <c r="H29" s="87"/>
      <c r="I29" s="87"/>
    </row>
    <row r="30">
      <c r="A30" s="72"/>
      <c r="B30" s="72"/>
      <c r="C30" s="72" t="s">
        <v>49</v>
      </c>
      <c r="D30" s="73" t="s">
        <v>321</v>
      </c>
      <c r="E30" s="45" t="s">
        <v>15</v>
      </c>
      <c r="F30" s="45" t="s">
        <v>15</v>
      </c>
      <c r="G30" s="74" t="s">
        <v>15</v>
      </c>
      <c r="H30" s="74" t="s">
        <v>15</v>
      </c>
      <c r="I30" s="74" t="s">
        <v>15</v>
      </c>
    </row>
    <row r="31">
      <c r="A31" s="72"/>
      <c r="B31" s="72"/>
      <c r="C31" s="72" t="s">
        <v>53</v>
      </c>
      <c r="D31" s="73" t="s">
        <v>322</v>
      </c>
      <c r="E31" s="45" t="s">
        <v>15</v>
      </c>
      <c r="F31" s="45" t="s">
        <v>15</v>
      </c>
      <c r="G31" s="74" t="s">
        <v>15</v>
      </c>
      <c r="H31" s="74" t="s">
        <v>15</v>
      </c>
      <c r="I31" s="74" t="s">
        <v>15</v>
      </c>
    </row>
    <row r="32">
      <c r="A32" s="72"/>
      <c r="B32" s="72"/>
      <c r="C32" s="72" t="s">
        <v>59</v>
      </c>
      <c r="D32" s="73" t="s">
        <v>323</v>
      </c>
      <c r="E32" s="45" t="s">
        <v>15</v>
      </c>
      <c r="F32" s="45" t="s">
        <v>15</v>
      </c>
      <c r="G32" s="74" t="s">
        <v>15</v>
      </c>
      <c r="H32" s="74" t="s">
        <v>15</v>
      </c>
      <c r="I32" s="74" t="s">
        <v>15</v>
      </c>
    </row>
    <row r="33">
      <c r="A33" s="69"/>
      <c r="B33" s="69"/>
      <c r="C33" s="78" t="s">
        <v>324</v>
      </c>
      <c r="D33" s="85"/>
      <c r="E33" s="86"/>
      <c r="F33" s="86"/>
      <c r="G33" s="87"/>
      <c r="H33" s="87"/>
      <c r="I33" s="87"/>
    </row>
    <row r="34">
      <c r="A34" s="72"/>
      <c r="B34" s="72"/>
      <c r="C34" s="72" t="s">
        <v>62</v>
      </c>
      <c r="D34" s="73" t="s">
        <v>325</v>
      </c>
      <c r="E34" s="45" t="s">
        <v>15</v>
      </c>
      <c r="F34" s="45" t="s">
        <v>15</v>
      </c>
      <c r="G34" s="74" t="s">
        <v>15</v>
      </c>
      <c r="H34" s="74" t="s">
        <v>15</v>
      </c>
      <c r="I34" s="74" t="s">
        <v>15</v>
      </c>
    </row>
    <row r="35">
      <c r="A35" s="72"/>
      <c r="B35" s="72"/>
      <c r="C35" s="72" t="s">
        <v>67</v>
      </c>
      <c r="D35" s="73" t="s">
        <v>326</v>
      </c>
      <c r="E35" s="45" t="s">
        <v>15</v>
      </c>
      <c r="F35" s="45" t="s">
        <v>15</v>
      </c>
      <c r="G35" s="74" t="s">
        <v>15</v>
      </c>
      <c r="H35" s="74" t="s">
        <v>15</v>
      </c>
      <c r="I35" s="74" t="s">
        <v>15</v>
      </c>
    </row>
    <row r="36">
      <c r="A36" s="72"/>
      <c r="B36" s="72"/>
      <c r="C36" s="72" t="s">
        <v>70</v>
      </c>
      <c r="D36" s="73" t="s">
        <v>327</v>
      </c>
      <c r="E36" s="45" t="s">
        <v>15</v>
      </c>
      <c r="F36" s="45" t="s">
        <v>15</v>
      </c>
      <c r="G36" s="74" t="s">
        <v>15</v>
      </c>
      <c r="H36" s="74" t="s">
        <v>15</v>
      </c>
      <c r="I36" s="74" t="s">
        <v>15</v>
      </c>
    </row>
    <row r="37">
      <c r="A37" s="83"/>
      <c r="B37" s="83"/>
      <c r="C37" s="83"/>
      <c r="D37" s="58"/>
    </row>
    <row r="38">
      <c r="A38" s="61"/>
      <c r="B38" s="61"/>
      <c r="C38" s="61" t="s">
        <v>250</v>
      </c>
      <c r="D38" s="58"/>
    </row>
    <row r="39">
      <c r="A39" s="83"/>
      <c r="B39" s="83"/>
      <c r="C39" s="62"/>
      <c r="D39" s="63"/>
      <c r="E39" s="64"/>
      <c r="F39" s="64"/>
      <c r="G39" s="64"/>
      <c r="H39" s="64"/>
      <c r="I39" s="64"/>
    </row>
    <row r="40">
      <c r="A40" s="83"/>
      <c r="B40" s="83"/>
      <c r="C40" s="89"/>
      <c r="D40" s="90"/>
      <c r="E40" s="91"/>
      <c r="F40" s="91"/>
      <c r="G40" s="91"/>
      <c r="H40" s="91"/>
      <c r="I40" s="91"/>
    </row>
    <row r="41">
      <c r="A41" s="83"/>
      <c r="B41" s="83"/>
      <c r="C41" s="89"/>
      <c r="D41" s="90"/>
      <c r="E41" s="91"/>
      <c r="F41" s="91"/>
      <c r="G41" s="91"/>
      <c r="H41" s="91"/>
      <c r="I41" s="91"/>
    </row>
    <row r="42">
      <c r="A42" s="83"/>
      <c r="B42" s="83"/>
      <c r="C42" s="89"/>
      <c r="D42" s="90"/>
      <c r="E42" s="91"/>
      <c r="F42" s="91"/>
      <c r="G42" s="91"/>
      <c r="H42" s="91"/>
      <c r="I42" s="9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35" t="s">
        <v>328</v>
      </c>
      <c r="D5" s="4"/>
      <c r="E5" s="5" t="s">
        <v>119</v>
      </c>
      <c r="F5" s="6" t="s">
        <v>120</v>
      </c>
      <c r="G5" s="6" t="s">
        <v>253</v>
      </c>
    </row>
    <row r="6">
      <c r="A6" s="1"/>
      <c r="B6" s="4"/>
      <c r="C6" s="4"/>
      <c r="D6" s="35"/>
      <c r="E6" s="92" t="s">
        <v>329</v>
      </c>
      <c r="F6" s="37"/>
      <c r="G6" s="12" t="s">
        <v>330</v>
      </c>
    </row>
    <row r="7">
      <c r="A7" s="13"/>
      <c r="B7" s="14"/>
      <c r="C7" s="15" t="s">
        <v>1</v>
      </c>
      <c r="D7" s="38"/>
      <c r="E7" s="93">
        <v>44917.0</v>
      </c>
      <c r="F7" s="93">
        <v>44826.0</v>
      </c>
      <c r="G7" s="93">
        <v>44917.0</v>
      </c>
    </row>
    <row r="8">
      <c r="A8" s="19"/>
      <c r="B8" s="72"/>
      <c r="C8" s="73" t="s">
        <v>331</v>
      </c>
      <c r="D8" s="94" t="s">
        <v>332</v>
      </c>
      <c r="E8" s="94">
        <v>2.090389538834E10</v>
      </c>
      <c r="F8" s="94">
        <v>1.823766000436E10</v>
      </c>
      <c r="G8" s="94">
        <v>1.67231163107E9</v>
      </c>
    </row>
    <row r="9">
      <c r="A9" s="19"/>
      <c r="B9" s="72"/>
      <c r="C9" s="73" t="s">
        <v>5</v>
      </c>
      <c r="D9" s="45" t="s">
        <v>333</v>
      </c>
      <c r="E9" s="45">
        <v>1.965667504363E10</v>
      </c>
      <c r="F9" s="45">
        <v>1.706836061826E10</v>
      </c>
      <c r="G9" s="45">
        <v>1.57253400349E9</v>
      </c>
    </row>
    <row r="10">
      <c r="A10" s="19"/>
      <c r="B10" s="72"/>
      <c r="C10" s="73" t="s">
        <v>20</v>
      </c>
      <c r="D10" s="45" t="s">
        <v>334</v>
      </c>
      <c r="E10" s="45">
        <v>4171514.51</v>
      </c>
      <c r="F10" s="45">
        <v>463631.08</v>
      </c>
      <c r="G10" s="45">
        <v>333721.16</v>
      </c>
    </row>
    <row r="11">
      <c r="A11" s="19"/>
      <c r="B11" s="72"/>
      <c r="C11" s="73" t="s">
        <v>23</v>
      </c>
      <c r="D11" s="45" t="s">
        <v>335</v>
      </c>
      <c r="E11" s="45" t="s">
        <v>131</v>
      </c>
      <c r="F11" s="45" t="s">
        <v>131</v>
      </c>
      <c r="G11" s="45" t="s">
        <v>131</v>
      </c>
    </row>
    <row r="12">
      <c r="A12" s="19"/>
      <c r="B12" s="72"/>
      <c r="C12" s="73" t="s">
        <v>336</v>
      </c>
      <c r="D12" s="45" t="s">
        <v>337</v>
      </c>
      <c r="E12" s="45">
        <v>4171514.51</v>
      </c>
      <c r="F12" s="45">
        <v>463631.08</v>
      </c>
      <c r="G12" s="45">
        <v>333721.16</v>
      </c>
    </row>
    <row r="13">
      <c r="A13" s="19"/>
      <c r="B13" s="72"/>
      <c r="C13" s="73" t="s">
        <v>28</v>
      </c>
      <c r="D13" s="45" t="s">
        <v>338</v>
      </c>
      <c r="E13" s="45" t="s">
        <v>131</v>
      </c>
      <c r="F13" s="45" t="s">
        <v>131</v>
      </c>
      <c r="G13" s="45" t="s">
        <v>131</v>
      </c>
    </row>
    <row r="14">
      <c r="A14" s="19"/>
      <c r="B14" s="72"/>
      <c r="C14" s="95" t="s">
        <v>30</v>
      </c>
      <c r="D14" s="96" t="s">
        <v>339</v>
      </c>
      <c r="E14" s="45">
        <v>658762.35</v>
      </c>
      <c r="F14" s="45">
        <v>1068953.25</v>
      </c>
      <c r="G14" s="45">
        <v>52700.99</v>
      </c>
    </row>
    <row r="15">
      <c r="A15" s="19"/>
      <c r="B15" s="72"/>
      <c r="C15" s="73" t="s">
        <v>38</v>
      </c>
      <c r="D15" s="45" t="s">
        <v>340</v>
      </c>
      <c r="E15" s="45">
        <v>1.6989769597E8</v>
      </c>
      <c r="F15" s="45">
        <v>9.0431817E7</v>
      </c>
      <c r="G15" s="45">
        <v>1.359181568E7</v>
      </c>
    </row>
    <row r="16">
      <c r="A16" s="19"/>
      <c r="B16" s="72"/>
      <c r="C16" s="73" t="s">
        <v>42</v>
      </c>
      <c r="D16" s="45" t="s">
        <v>341</v>
      </c>
      <c r="E16" s="45">
        <v>8217582.14</v>
      </c>
      <c r="F16" s="45">
        <v>6366637.0</v>
      </c>
      <c r="G16" s="45">
        <v>657406.57</v>
      </c>
    </row>
    <row r="17">
      <c r="A17" s="19"/>
      <c r="B17" s="72"/>
      <c r="C17" s="73" t="s">
        <v>46</v>
      </c>
      <c r="D17" s="45" t="s">
        <v>342</v>
      </c>
      <c r="E17" s="45" t="s">
        <v>131</v>
      </c>
      <c r="F17" s="45" t="s">
        <v>131</v>
      </c>
      <c r="G17" s="45" t="s">
        <v>131</v>
      </c>
    </row>
    <row r="18">
      <c r="A18" s="19"/>
      <c r="B18" s="72"/>
      <c r="C18" s="73" t="s">
        <v>53</v>
      </c>
      <c r="D18" s="45" t="s">
        <v>343</v>
      </c>
      <c r="E18" s="45">
        <v>6.3235550972E8</v>
      </c>
      <c r="F18" s="45">
        <v>7.618452129E8</v>
      </c>
      <c r="G18" s="45">
        <v>5.058844078E7</v>
      </c>
    </row>
    <row r="19">
      <c r="A19" s="19"/>
      <c r="B19" s="72"/>
      <c r="C19" s="73" t="s">
        <v>82</v>
      </c>
      <c r="D19" s="45" t="s">
        <v>344</v>
      </c>
      <c r="E19" s="45">
        <v>4.3191928002E8</v>
      </c>
      <c r="F19" s="45">
        <v>3.0912313487E8</v>
      </c>
      <c r="G19" s="45">
        <v>3.45535424E7</v>
      </c>
    </row>
    <row r="20">
      <c r="A20" s="19"/>
      <c r="B20" s="72"/>
      <c r="C20" s="97" t="s">
        <v>70</v>
      </c>
      <c r="D20" s="98" t="s">
        <v>345</v>
      </c>
      <c r="E20" s="98">
        <v>3.704684801E8</v>
      </c>
      <c r="F20" s="98">
        <v>2.9322651722E8</v>
      </c>
      <c r="G20" s="98">
        <v>2.963747841E7</v>
      </c>
    </row>
    <row r="21">
      <c r="A21" s="19"/>
      <c r="B21" s="72"/>
      <c r="C21" s="73" t="s">
        <v>73</v>
      </c>
      <c r="D21" s="45" t="s">
        <v>346</v>
      </c>
      <c r="E21" s="45">
        <v>3.704684801E8</v>
      </c>
      <c r="F21" s="45">
        <v>2.9322651722E8</v>
      </c>
      <c r="G21" s="45">
        <v>2.963747841E7</v>
      </c>
    </row>
    <row r="22">
      <c r="A22" s="19"/>
      <c r="B22" s="72"/>
      <c r="C22" s="73" t="s">
        <v>75</v>
      </c>
      <c r="D22" s="45" t="s">
        <v>347</v>
      </c>
      <c r="E22" s="45"/>
      <c r="F22" s="45"/>
      <c r="G22" s="45"/>
    </row>
    <row r="23">
      <c r="A23" s="19"/>
      <c r="B23" s="72"/>
      <c r="C23" s="97" t="s">
        <v>80</v>
      </c>
      <c r="D23" s="98" t="s">
        <v>348</v>
      </c>
      <c r="E23" s="98">
        <v>5.68926339463E9</v>
      </c>
      <c r="F23" s="98">
        <v>5.68926339463E9</v>
      </c>
      <c r="G23" s="98">
        <v>4.5514107157E8</v>
      </c>
    </row>
    <row r="24">
      <c r="A24" s="19"/>
      <c r="B24" s="72"/>
      <c r="C24" s="97" t="s">
        <v>86</v>
      </c>
      <c r="D24" s="98" t="s">
        <v>349</v>
      </c>
      <c r="E24" s="98">
        <v>2.696362726307E10</v>
      </c>
      <c r="F24" s="98">
        <v>2.37266738017E10</v>
      </c>
      <c r="G24" s="98">
        <v>2.15709018105E9</v>
      </c>
    </row>
    <row r="25">
      <c r="A25" s="58"/>
      <c r="B25" s="58"/>
      <c r="C25" s="58"/>
      <c r="D25" s="58"/>
      <c r="E25" s="59"/>
      <c r="F25" s="60"/>
      <c r="G25" s="58"/>
    </row>
    <row r="26">
      <c r="A26" s="58"/>
      <c r="B26" s="61"/>
      <c r="C26" s="61" t="s">
        <v>250</v>
      </c>
      <c r="D26" s="58"/>
    </row>
    <row r="27">
      <c r="A27" s="58"/>
      <c r="B27" s="83"/>
      <c r="C27" s="62"/>
      <c r="D27" s="63"/>
      <c r="E27" s="64"/>
      <c r="F27" s="64"/>
      <c r="G27" s="64"/>
    </row>
    <row r="28">
      <c r="A28" s="99"/>
      <c r="B28" s="99"/>
      <c r="C28" s="99"/>
      <c r="D28" s="99"/>
      <c r="E28" s="99"/>
      <c r="F28" s="99"/>
      <c r="G28" s="99"/>
    </row>
    <row r="29">
      <c r="A29" s="58"/>
      <c r="B29" s="58"/>
      <c r="C29" s="58"/>
      <c r="D29" s="58"/>
      <c r="E29" s="59"/>
      <c r="F29" s="60"/>
      <c r="G29" s="58"/>
    </row>
    <row r="30">
      <c r="A30" s="58"/>
      <c r="B30" s="58"/>
      <c r="C30" s="58"/>
      <c r="D30" s="58"/>
      <c r="E30" s="59"/>
      <c r="F30" s="60"/>
      <c r="G30" s="58"/>
    </row>
  </sheetData>
  <mergeCells count="1">
    <mergeCell ref="E6:F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7"/>
      <c r="B5" s="8"/>
      <c r="C5" s="35" t="s">
        <v>350</v>
      </c>
      <c r="D5" s="4"/>
      <c r="E5" s="11" t="s">
        <v>119</v>
      </c>
    </row>
    <row r="6">
      <c r="A6" s="1"/>
      <c r="B6" s="4"/>
      <c r="C6" s="4"/>
      <c r="D6" s="35"/>
      <c r="E6" s="11" t="s">
        <v>351</v>
      </c>
    </row>
    <row r="7">
      <c r="A7" s="13"/>
      <c r="B7" s="14"/>
      <c r="C7" s="15" t="s">
        <v>1</v>
      </c>
      <c r="D7" s="38"/>
      <c r="E7" s="93">
        <v>44917.0</v>
      </c>
    </row>
    <row r="8">
      <c r="A8" s="19"/>
      <c r="B8" s="19"/>
      <c r="C8" s="73" t="s">
        <v>2</v>
      </c>
      <c r="D8" s="45" t="s">
        <v>352</v>
      </c>
      <c r="E8" s="45">
        <v>2.71544319E8</v>
      </c>
    </row>
    <row r="9">
      <c r="A9" s="19"/>
      <c r="B9" s="19"/>
      <c r="C9" s="73" t="s">
        <v>353</v>
      </c>
      <c r="D9" s="100" t="s">
        <v>354</v>
      </c>
      <c r="E9" s="45">
        <v>1.232285375E7</v>
      </c>
    </row>
    <row r="10">
      <c r="A10" s="19"/>
      <c r="B10" s="19"/>
      <c r="C10" s="73" t="s">
        <v>355</v>
      </c>
      <c r="D10" s="45" t="s">
        <v>356</v>
      </c>
      <c r="E10" s="45">
        <v>0.0</v>
      </c>
    </row>
    <row r="11">
      <c r="A11" s="19"/>
      <c r="B11" s="19"/>
      <c r="C11" s="73" t="s">
        <v>357</v>
      </c>
      <c r="D11" s="45" t="s">
        <v>358</v>
      </c>
      <c r="E11" s="45">
        <v>2.5922146525E8</v>
      </c>
    </row>
    <row r="12">
      <c r="B12" s="19"/>
      <c r="C12" s="73" t="s">
        <v>359</v>
      </c>
      <c r="D12" s="45" t="s">
        <v>360</v>
      </c>
      <c r="E12" s="45">
        <v>0.0</v>
      </c>
    </row>
    <row r="13">
      <c r="A13" s="19"/>
      <c r="B13" s="19"/>
      <c r="C13" s="73" t="s">
        <v>5</v>
      </c>
      <c r="D13" s="45" t="s">
        <v>361</v>
      </c>
      <c r="E13" s="45">
        <v>0.0</v>
      </c>
    </row>
    <row r="14">
      <c r="A14" s="19"/>
      <c r="B14" s="19"/>
      <c r="C14" s="73" t="s">
        <v>10</v>
      </c>
      <c r="D14" s="45" t="s">
        <v>362</v>
      </c>
      <c r="E14" s="45">
        <v>9.89241611E7</v>
      </c>
    </row>
    <row r="15">
      <c r="A15" s="19"/>
      <c r="B15" s="19"/>
      <c r="C15" s="73" t="s">
        <v>13</v>
      </c>
      <c r="D15" s="45" t="s">
        <v>363</v>
      </c>
      <c r="E15" s="45">
        <v>0.0</v>
      </c>
    </row>
    <row r="16">
      <c r="A16" s="19"/>
      <c r="B16" s="19"/>
      <c r="C16" s="101" t="s">
        <v>28</v>
      </c>
      <c r="D16" s="102" t="s">
        <v>364</v>
      </c>
      <c r="E16" s="103">
        <v>3.704684801E8</v>
      </c>
    </row>
    <row r="17">
      <c r="A17" s="58"/>
      <c r="B17" s="58"/>
      <c r="C17" s="58"/>
      <c r="D17" s="58"/>
      <c r="E17" s="59"/>
    </row>
    <row r="18">
      <c r="A18" s="58"/>
      <c r="B18" s="58"/>
      <c r="C18" s="61" t="s">
        <v>250</v>
      </c>
      <c r="D18" s="61"/>
      <c r="E18" s="58"/>
    </row>
    <row r="19">
      <c r="A19" s="58"/>
      <c r="B19" s="58"/>
      <c r="C19" s="62"/>
      <c r="D19" s="62"/>
      <c r="E19" s="63"/>
    </row>
    <row r="20">
      <c r="A20" s="58"/>
      <c r="B20" s="58"/>
      <c r="C20" s="58"/>
      <c r="D20" s="58"/>
      <c r="E20" s="59"/>
    </row>
    <row r="21">
      <c r="A21" s="58"/>
      <c r="B21" s="58"/>
      <c r="C21" s="58"/>
      <c r="D21" s="58"/>
      <c r="E21" s="59"/>
    </row>
    <row r="22">
      <c r="A22" s="58"/>
      <c r="B22" s="58"/>
      <c r="C22" s="58"/>
      <c r="D22" s="58"/>
      <c r="E22" s="59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44.13"/>
    <col customWidth="1" min="5" max="8" width="18.75"/>
  </cols>
  <sheetData>
    <row r="1">
      <c r="A1" s="1"/>
      <c r="B1" s="1"/>
      <c r="C1" s="1"/>
      <c r="D1" s="1"/>
      <c r="E1" s="2"/>
      <c r="F1" s="3"/>
      <c r="G1" s="3"/>
      <c r="H1" s="3"/>
    </row>
    <row r="2" ht="6.75" customHeight="1">
      <c r="A2" s="1"/>
      <c r="B2" s="4"/>
      <c r="C2" s="4"/>
      <c r="D2" s="4"/>
      <c r="E2" s="5"/>
      <c r="F2" s="6"/>
      <c r="G2" s="6"/>
      <c r="H2" s="6"/>
    </row>
    <row r="3">
      <c r="A3" s="1"/>
      <c r="B3" s="4"/>
      <c r="C3" s="4"/>
      <c r="D3" s="4"/>
      <c r="E3" s="5"/>
      <c r="F3" s="6"/>
      <c r="G3" s="6"/>
      <c r="H3" s="6"/>
    </row>
    <row r="4">
      <c r="A4" s="1"/>
      <c r="B4" s="4"/>
      <c r="C4" s="4"/>
      <c r="D4" s="38"/>
      <c r="E4" s="11" t="s">
        <v>119</v>
      </c>
      <c r="F4" s="12" t="s">
        <v>120</v>
      </c>
      <c r="G4" s="12" t="s">
        <v>253</v>
      </c>
      <c r="H4" s="12" t="s">
        <v>365</v>
      </c>
    </row>
    <row r="5">
      <c r="A5" s="7"/>
      <c r="B5" s="8"/>
      <c r="C5" s="35" t="s">
        <v>366</v>
      </c>
      <c r="D5" s="35"/>
      <c r="E5" s="36" t="s">
        <v>252</v>
      </c>
      <c r="F5" s="37"/>
      <c r="G5" s="37"/>
      <c r="H5" s="37"/>
    </row>
    <row r="6">
      <c r="A6" s="1"/>
      <c r="B6" s="4"/>
      <c r="C6" s="4"/>
      <c r="D6" s="4"/>
      <c r="E6" s="104" t="s">
        <v>367</v>
      </c>
      <c r="F6" s="37"/>
      <c r="G6" s="12" t="s">
        <v>368</v>
      </c>
      <c r="H6" s="6" t="s">
        <v>369</v>
      </c>
    </row>
    <row r="7">
      <c r="A7" s="13"/>
      <c r="B7" s="14"/>
      <c r="C7" s="15" t="s">
        <v>1</v>
      </c>
      <c r="D7" s="38"/>
      <c r="E7" s="67" t="s">
        <v>370</v>
      </c>
      <c r="F7" s="16" t="s">
        <v>371</v>
      </c>
    </row>
    <row r="8">
      <c r="A8" s="19"/>
      <c r="B8" s="19"/>
      <c r="C8" s="73" t="s">
        <v>2</v>
      </c>
      <c r="D8" s="45" t="s">
        <v>372</v>
      </c>
      <c r="E8" s="105">
        <v>4547389.0</v>
      </c>
      <c r="F8" s="105">
        <f>31529124-1</f>
        <v>31529123</v>
      </c>
      <c r="G8" s="105">
        <v>6698235.0</v>
      </c>
      <c r="H8" s="105">
        <f t="shared" ref="H8:H13" si="1">sum(E8:F8)-G8</f>
        <v>29378277</v>
      </c>
    </row>
    <row r="9">
      <c r="A9" s="19"/>
      <c r="B9" s="19"/>
      <c r="C9" s="73" t="s">
        <v>5</v>
      </c>
      <c r="D9" s="45" t="s">
        <v>373</v>
      </c>
      <c r="E9" s="105"/>
      <c r="F9" s="105">
        <v>3.2107799E7</v>
      </c>
      <c r="G9" s="105"/>
      <c r="H9" s="105">
        <f t="shared" si="1"/>
        <v>32107799</v>
      </c>
    </row>
    <row r="10">
      <c r="A10" s="19"/>
      <c r="B10" s="19"/>
      <c r="C10" s="73" t="s">
        <v>374</v>
      </c>
      <c r="D10" s="45" t="s">
        <v>375</v>
      </c>
      <c r="E10" s="106"/>
      <c r="F10" s="106">
        <v>3.1254726E7</v>
      </c>
      <c r="G10" s="106"/>
      <c r="H10" s="106">
        <f t="shared" si="1"/>
        <v>31254726</v>
      </c>
    </row>
    <row r="11">
      <c r="A11" s="19"/>
      <c r="B11" s="19"/>
      <c r="C11" s="73" t="s">
        <v>376</v>
      </c>
      <c r="D11" s="45" t="s">
        <v>377</v>
      </c>
      <c r="E11" s="106"/>
      <c r="F11" s="106">
        <v>853073.0</v>
      </c>
      <c r="G11" s="106"/>
      <c r="H11" s="106">
        <f t="shared" si="1"/>
        <v>853073</v>
      </c>
    </row>
    <row r="12">
      <c r="A12" s="19"/>
      <c r="B12" s="19"/>
      <c r="C12" s="73" t="s">
        <v>10</v>
      </c>
      <c r="D12" s="45" t="s">
        <v>378</v>
      </c>
      <c r="E12" s="105"/>
      <c r="F12" s="105">
        <v>233404.0</v>
      </c>
      <c r="G12" s="105"/>
      <c r="H12" s="107">
        <f t="shared" si="1"/>
        <v>233404</v>
      </c>
    </row>
    <row r="13">
      <c r="A13" s="19"/>
      <c r="B13" s="19"/>
      <c r="C13" s="101" t="s">
        <v>13</v>
      </c>
      <c r="D13" s="102" t="s">
        <v>379</v>
      </c>
      <c r="E13" s="108">
        <f t="shared" ref="E13:G13" si="2">sum(E8,E9,E12)</f>
        <v>4547389</v>
      </c>
      <c r="F13" s="108">
        <f t="shared" si="2"/>
        <v>63870326</v>
      </c>
      <c r="G13" s="108">
        <f t="shared" si="2"/>
        <v>6698235</v>
      </c>
      <c r="H13" s="105">
        <f t="shared" si="1"/>
        <v>61719480</v>
      </c>
    </row>
    <row r="14">
      <c r="A14" s="58"/>
      <c r="B14" s="58"/>
      <c r="C14" s="58"/>
      <c r="D14" s="58"/>
      <c r="E14" s="45"/>
      <c r="F14" s="45"/>
      <c r="G14" s="45"/>
      <c r="H14" s="45"/>
    </row>
    <row r="15">
      <c r="A15" s="58"/>
      <c r="B15" s="58"/>
      <c r="C15" s="61" t="s">
        <v>250</v>
      </c>
      <c r="D15" s="58"/>
      <c r="F15" s="61"/>
      <c r="G15" s="58"/>
    </row>
    <row r="16">
      <c r="A16" s="58"/>
      <c r="B16" s="58"/>
      <c r="C16" s="109"/>
      <c r="D16" s="110"/>
      <c r="E16" s="110"/>
      <c r="F16" s="110"/>
      <c r="G16" s="110"/>
      <c r="H16" s="110"/>
    </row>
    <row r="17">
      <c r="A17" s="58"/>
      <c r="B17" s="58"/>
      <c r="C17" s="111"/>
    </row>
    <row r="18">
      <c r="A18" s="58"/>
      <c r="B18" s="58"/>
      <c r="C18" s="58"/>
      <c r="D18" s="58"/>
      <c r="E18" s="59"/>
      <c r="F18" s="60"/>
      <c r="G18" s="58"/>
      <c r="H18" s="58"/>
    </row>
    <row r="19">
      <c r="A19" s="58"/>
      <c r="B19" s="58"/>
      <c r="C19" s="58"/>
      <c r="D19" s="58"/>
      <c r="E19" s="59"/>
      <c r="F19" s="60"/>
      <c r="G19" s="58"/>
      <c r="H19" s="58"/>
    </row>
  </sheetData>
  <mergeCells count="6">
    <mergeCell ref="E5:H5"/>
    <mergeCell ref="E6:F6"/>
    <mergeCell ref="G6:G7"/>
    <mergeCell ref="H6:H7"/>
    <mergeCell ref="C16:H16"/>
    <mergeCell ref="C17:H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58"/>
      <c r="B5" s="8"/>
      <c r="C5" s="35" t="s">
        <v>380</v>
      </c>
      <c r="D5" s="4"/>
      <c r="E5" s="112"/>
    </row>
    <row r="6">
      <c r="A6" s="58"/>
      <c r="B6" s="4"/>
      <c r="C6" s="4"/>
      <c r="D6" s="4"/>
      <c r="E6" s="5" t="s">
        <v>119</v>
      </c>
    </row>
    <row r="7">
      <c r="A7" s="58"/>
      <c r="B7" s="14"/>
      <c r="C7" s="15" t="s">
        <v>1</v>
      </c>
      <c r="D7" s="38"/>
      <c r="E7" s="113">
        <v>44926.0</v>
      </c>
    </row>
    <row r="8">
      <c r="A8" s="58"/>
      <c r="B8" s="58"/>
      <c r="C8" s="73" t="s">
        <v>2</v>
      </c>
      <c r="D8" s="45" t="s">
        <v>381</v>
      </c>
      <c r="E8" s="114">
        <v>2689376.0</v>
      </c>
    </row>
    <row r="9">
      <c r="A9" s="58"/>
      <c r="B9" s="58"/>
      <c r="C9" s="73" t="s">
        <v>5</v>
      </c>
      <c r="D9" s="45" t="s">
        <v>382</v>
      </c>
      <c r="E9" s="115">
        <v>3280321.0</v>
      </c>
    </row>
    <row r="10">
      <c r="A10" s="58"/>
      <c r="B10" s="58"/>
      <c r="C10" s="73" t="s">
        <v>10</v>
      </c>
      <c r="D10" s="45" t="s">
        <v>383</v>
      </c>
      <c r="E10" s="115">
        <v>-76744.0</v>
      </c>
    </row>
    <row r="11">
      <c r="A11" s="58"/>
      <c r="B11" s="58"/>
      <c r="C11" s="73" t="s">
        <v>13</v>
      </c>
      <c r="D11" s="45" t="s">
        <v>384</v>
      </c>
      <c r="E11" s="115">
        <v>-1258602.0</v>
      </c>
    </row>
    <row r="12">
      <c r="A12" s="58"/>
      <c r="B12" s="58"/>
      <c r="C12" s="73" t="s">
        <v>16</v>
      </c>
      <c r="D12" s="45" t="s">
        <v>385</v>
      </c>
      <c r="E12" s="115">
        <v>-86962.0</v>
      </c>
    </row>
    <row r="13">
      <c r="A13" s="58"/>
      <c r="B13" s="58"/>
      <c r="C13" s="102" t="s">
        <v>20</v>
      </c>
      <c r="D13" s="102" t="s">
        <v>386</v>
      </c>
      <c r="E13" s="116">
        <f>sum(E8:E12)</f>
        <v>4547389</v>
      </c>
    </row>
    <row r="14">
      <c r="A14" s="58"/>
      <c r="B14" s="58"/>
      <c r="C14" s="58"/>
      <c r="D14" s="58"/>
      <c r="E14" s="59"/>
    </row>
    <row r="15">
      <c r="A15" s="58"/>
      <c r="B15" s="58"/>
      <c r="C15" s="61" t="s">
        <v>250</v>
      </c>
      <c r="D15" s="58"/>
    </row>
    <row r="16">
      <c r="A16" s="58"/>
      <c r="B16" s="58"/>
      <c r="C16" s="62"/>
      <c r="D16" s="63"/>
      <c r="E16" s="64"/>
    </row>
    <row r="17">
      <c r="A17" s="58"/>
      <c r="B17" s="58"/>
      <c r="C17" s="90"/>
      <c r="D17" s="90"/>
      <c r="E17" s="117"/>
    </row>
    <row r="18">
      <c r="A18" s="58"/>
      <c r="B18" s="58"/>
      <c r="C18" s="90"/>
      <c r="D18" s="90"/>
      <c r="E18" s="117"/>
    </row>
    <row r="19">
      <c r="A19" s="58"/>
      <c r="B19" s="58"/>
      <c r="C19" s="90"/>
      <c r="D19" s="90"/>
      <c r="E19" s="1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58"/>
      <c r="B5" s="8"/>
      <c r="C5" s="35" t="s">
        <v>387</v>
      </c>
      <c r="D5" s="4"/>
      <c r="E5" s="112"/>
    </row>
    <row r="6">
      <c r="A6" s="58"/>
      <c r="B6" s="4"/>
      <c r="C6" s="4"/>
      <c r="D6" s="4"/>
      <c r="E6" s="5"/>
    </row>
    <row r="7">
      <c r="A7" s="58"/>
      <c r="B7" s="14"/>
      <c r="C7" s="15" t="s">
        <v>388</v>
      </c>
      <c r="D7" s="38"/>
      <c r="E7" s="113">
        <v>44926.0</v>
      </c>
    </row>
    <row r="8">
      <c r="A8" s="58"/>
      <c r="B8" s="58"/>
      <c r="C8" s="73"/>
      <c r="D8" s="45"/>
      <c r="E8" s="46"/>
    </row>
    <row r="9">
      <c r="A9" s="58"/>
      <c r="B9" s="58"/>
      <c r="C9" s="73"/>
      <c r="D9" s="45"/>
      <c r="E9" s="46"/>
    </row>
    <row r="10">
      <c r="A10" s="58"/>
      <c r="B10" s="58"/>
      <c r="C10" s="118" t="s">
        <v>389</v>
      </c>
      <c r="E10" s="119"/>
    </row>
    <row r="11">
      <c r="A11" s="58"/>
      <c r="B11" s="58"/>
      <c r="C11" s="120"/>
      <c r="D11" s="121" t="s">
        <v>390</v>
      </c>
      <c r="E11" s="122">
        <v>1569788.0</v>
      </c>
    </row>
    <row r="12">
      <c r="A12" s="58"/>
      <c r="B12" s="58"/>
      <c r="C12" s="123"/>
      <c r="D12" s="124" t="s">
        <v>391</v>
      </c>
      <c r="E12" s="125">
        <v>3006364.0</v>
      </c>
    </row>
    <row r="13">
      <c r="A13" s="58"/>
      <c r="B13" s="58"/>
      <c r="C13" s="126"/>
      <c r="D13" s="124" t="s">
        <v>392</v>
      </c>
      <c r="E13" s="125">
        <v>964520.0</v>
      </c>
    </row>
    <row r="14">
      <c r="A14" s="58"/>
      <c r="B14" s="58"/>
      <c r="C14" s="126"/>
      <c r="D14" s="124" t="s">
        <v>393</v>
      </c>
      <c r="E14" s="125">
        <v>7168108.0</v>
      </c>
    </row>
    <row r="15">
      <c r="A15" s="58"/>
      <c r="B15" s="58"/>
      <c r="C15" s="126"/>
      <c r="D15" s="124" t="s">
        <v>394</v>
      </c>
      <c r="E15" s="125">
        <v>1.7755991E7</v>
      </c>
    </row>
    <row r="16">
      <c r="A16" s="58"/>
      <c r="B16" s="58"/>
      <c r="C16" s="126"/>
      <c r="D16" s="124" t="s">
        <v>395</v>
      </c>
      <c r="E16" s="125">
        <v>3.1254709E7</v>
      </c>
    </row>
    <row r="17">
      <c r="A17" s="58"/>
      <c r="B17" s="58"/>
      <c r="C17" s="126"/>
      <c r="D17" s="124"/>
      <c r="E17" s="125"/>
    </row>
    <row r="18">
      <c r="A18" s="58"/>
      <c r="B18" s="58"/>
      <c r="C18" s="126"/>
      <c r="D18" s="127" t="s">
        <v>364</v>
      </c>
      <c r="E18" s="128">
        <f>sum(E11:E16)</f>
        <v>61719480</v>
      </c>
    </row>
    <row r="19">
      <c r="A19" s="58"/>
      <c r="B19" s="58"/>
      <c r="C19" s="129"/>
      <c r="D19" s="130"/>
      <c r="E19" s="131"/>
    </row>
    <row r="20">
      <c r="A20" s="58"/>
      <c r="B20" s="58"/>
      <c r="C20" s="118" t="s">
        <v>396</v>
      </c>
      <c r="E20" s="132"/>
    </row>
    <row r="21">
      <c r="A21" s="58"/>
      <c r="B21" s="58"/>
      <c r="C21" s="120"/>
      <c r="D21" s="120" t="s">
        <v>397</v>
      </c>
      <c r="E21" s="133">
        <v>1.4288073E7</v>
      </c>
    </row>
    <row r="22">
      <c r="A22" s="58"/>
      <c r="B22" s="58"/>
      <c r="C22" s="123"/>
      <c r="D22" s="127" t="s">
        <v>398</v>
      </c>
      <c r="E22" s="134">
        <f>sum(E23:E26)</f>
        <v>47431407</v>
      </c>
    </row>
    <row r="23">
      <c r="A23" s="58"/>
      <c r="B23" s="58"/>
      <c r="C23" s="126"/>
      <c r="D23" s="135" t="s">
        <v>399</v>
      </c>
      <c r="E23" s="125">
        <f>212760-1</f>
        <v>212759</v>
      </c>
    </row>
    <row r="24">
      <c r="A24" s="58"/>
      <c r="B24" s="58"/>
      <c r="C24" s="126"/>
      <c r="D24" s="135" t="s">
        <v>400</v>
      </c>
      <c r="E24" s="125">
        <v>3875.0</v>
      </c>
    </row>
    <row r="25">
      <c r="A25" s="58"/>
      <c r="B25" s="58"/>
      <c r="C25" s="126"/>
      <c r="D25" s="135" t="s">
        <v>401</v>
      </c>
      <c r="E25" s="125">
        <v>1.5960064E7</v>
      </c>
    </row>
    <row r="26">
      <c r="C26" s="136"/>
      <c r="D26" s="137" t="s">
        <v>402</v>
      </c>
      <c r="E26" s="125">
        <v>3.1254709E7</v>
      </c>
    </row>
    <row r="27">
      <c r="A27" s="58"/>
      <c r="B27" s="58"/>
      <c r="C27" s="126"/>
      <c r="D27" s="127"/>
      <c r="E27" s="128"/>
    </row>
    <row r="28">
      <c r="A28" s="58"/>
      <c r="B28" s="58"/>
      <c r="C28" s="126"/>
      <c r="D28" s="127" t="s">
        <v>364</v>
      </c>
      <c r="E28" s="128">
        <f>sum(E22,E21)</f>
        <v>61719480</v>
      </c>
    </row>
    <row r="29">
      <c r="A29" s="58"/>
      <c r="B29" s="58"/>
      <c r="C29" s="129"/>
      <c r="D29" s="130"/>
      <c r="E29" s="131"/>
    </row>
    <row r="30">
      <c r="A30" s="58"/>
      <c r="B30" s="58"/>
      <c r="C30" s="118" t="s">
        <v>403</v>
      </c>
      <c r="E30" s="132"/>
    </row>
    <row r="31">
      <c r="A31" s="58"/>
      <c r="B31" s="58"/>
      <c r="C31" s="120"/>
      <c r="D31" s="121" t="s">
        <v>404</v>
      </c>
      <c r="E31" s="122">
        <v>1.4833004E7</v>
      </c>
    </row>
    <row r="32">
      <c r="A32" s="58"/>
      <c r="B32" s="58"/>
      <c r="C32" s="57"/>
      <c r="D32" s="124" t="s">
        <v>405</v>
      </c>
      <c r="E32" s="138">
        <v>1.2160187E7</v>
      </c>
    </row>
    <row r="33">
      <c r="A33" s="58"/>
      <c r="B33" s="58"/>
      <c r="C33" s="57"/>
      <c r="D33" s="124" t="s">
        <v>406</v>
      </c>
      <c r="E33" s="138">
        <v>3.4726289E7</v>
      </c>
    </row>
    <row r="34">
      <c r="A34" s="58"/>
      <c r="B34" s="58"/>
      <c r="C34" s="57"/>
      <c r="D34" s="124"/>
      <c r="E34" s="139"/>
    </row>
    <row r="35">
      <c r="A35" s="58"/>
      <c r="B35" s="58"/>
      <c r="C35" s="57"/>
      <c r="D35" s="127" t="s">
        <v>364</v>
      </c>
      <c r="E35" s="140">
        <v>6.171948E7</v>
      </c>
    </row>
    <row r="36">
      <c r="A36" s="58"/>
      <c r="B36" s="58"/>
      <c r="C36" s="57"/>
      <c r="D36" s="135"/>
      <c r="E36" s="139"/>
    </row>
    <row r="37">
      <c r="A37" s="58"/>
      <c r="B37" s="58"/>
      <c r="C37" s="61" t="s">
        <v>250</v>
      </c>
      <c r="D37" s="58"/>
    </row>
    <row r="38">
      <c r="A38" s="58"/>
      <c r="B38" s="58"/>
      <c r="C38" s="62"/>
      <c r="D38" s="141" t="s">
        <v>407</v>
      </c>
      <c r="E38" s="64"/>
    </row>
    <row r="39">
      <c r="A39" s="58"/>
      <c r="B39" s="58"/>
      <c r="C39" s="90"/>
      <c r="D39" s="90"/>
      <c r="E39" s="117"/>
    </row>
  </sheetData>
  <mergeCells count="3">
    <mergeCell ref="C10:D10"/>
    <mergeCell ref="C20:D20"/>
    <mergeCell ref="C30:D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7" width="14.0"/>
  </cols>
  <sheetData>
    <row r="1">
      <c r="A1" s="1"/>
      <c r="B1" s="1"/>
      <c r="C1" s="1"/>
      <c r="D1" s="1"/>
      <c r="E1" s="2"/>
      <c r="F1" s="2"/>
      <c r="G1" s="2"/>
    </row>
    <row r="2" ht="6.75" customHeight="1">
      <c r="A2" s="1"/>
      <c r="B2" s="4"/>
      <c r="C2" s="4"/>
      <c r="D2" s="4"/>
      <c r="E2" s="5"/>
      <c r="F2" s="5"/>
      <c r="G2" s="5"/>
    </row>
    <row r="3">
      <c r="A3" s="1"/>
      <c r="B3" s="4"/>
      <c r="C3" s="4"/>
      <c r="D3" s="4"/>
      <c r="E3" s="5"/>
      <c r="F3" s="5"/>
      <c r="G3" s="5"/>
    </row>
    <row r="4">
      <c r="A4" s="1"/>
      <c r="B4" s="4"/>
      <c r="C4" s="4"/>
      <c r="D4" s="4"/>
      <c r="E4" s="5"/>
      <c r="F4" s="5"/>
      <c r="G4" s="5"/>
    </row>
    <row r="5">
      <c r="A5" s="58"/>
      <c r="B5" s="8"/>
      <c r="C5" s="35" t="s">
        <v>408</v>
      </c>
      <c r="D5" s="4"/>
      <c r="E5" s="112"/>
      <c r="F5" s="112"/>
      <c r="G5" s="112"/>
    </row>
    <row r="6">
      <c r="A6" s="58"/>
      <c r="B6" s="4"/>
      <c r="C6" s="4"/>
      <c r="D6" s="4"/>
      <c r="E6" s="5"/>
      <c r="F6" s="5"/>
      <c r="G6" s="5"/>
    </row>
    <row r="7">
      <c r="A7" s="58"/>
      <c r="B7" s="14"/>
      <c r="C7" s="15" t="s">
        <v>388</v>
      </c>
      <c r="D7" s="38"/>
      <c r="E7" s="142"/>
      <c r="F7" s="142"/>
      <c r="G7" s="113">
        <v>44926.0</v>
      </c>
    </row>
    <row r="8">
      <c r="A8" s="58"/>
      <c r="B8" s="58"/>
      <c r="C8" s="73"/>
      <c r="D8" s="45"/>
      <c r="E8" s="46"/>
      <c r="F8" s="46"/>
      <c r="G8" s="46"/>
    </row>
    <row r="9">
      <c r="A9" s="58"/>
      <c r="B9" s="58"/>
      <c r="C9" s="73"/>
      <c r="D9" s="45"/>
      <c r="E9" s="143" t="s">
        <v>409</v>
      </c>
      <c r="F9" s="143" t="s">
        <v>410</v>
      </c>
      <c r="G9" s="143" t="s">
        <v>411</v>
      </c>
    </row>
    <row r="10">
      <c r="A10" s="58"/>
      <c r="B10" s="58"/>
      <c r="C10" s="45" t="s">
        <v>389</v>
      </c>
      <c r="E10" s="46"/>
      <c r="F10" s="46"/>
      <c r="G10" s="46"/>
    </row>
    <row r="11">
      <c r="A11" s="58"/>
      <c r="B11" s="58"/>
      <c r="C11" s="102"/>
      <c r="D11" s="121" t="s">
        <v>390</v>
      </c>
      <c r="E11" s="144">
        <v>442955.0</v>
      </c>
      <c r="F11" s="144">
        <v>373888.0</v>
      </c>
      <c r="G11" s="144">
        <v>179476.0</v>
      </c>
    </row>
    <row r="12">
      <c r="A12" s="58"/>
      <c r="B12" s="58"/>
      <c r="C12" s="58"/>
      <c r="D12" s="124" t="s">
        <v>391</v>
      </c>
      <c r="E12" s="145">
        <v>1075472.0</v>
      </c>
      <c r="F12" s="145">
        <v>889358.0</v>
      </c>
      <c r="G12" s="145">
        <v>578159.0</v>
      </c>
    </row>
    <row r="13">
      <c r="A13" s="58"/>
      <c r="B13" s="58"/>
      <c r="C13" s="61"/>
      <c r="D13" s="124" t="s">
        <v>392</v>
      </c>
      <c r="E13" s="146">
        <v>257903.0</v>
      </c>
      <c r="F13" s="146">
        <v>218175.0</v>
      </c>
      <c r="G13" s="146">
        <v>96030.0</v>
      </c>
    </row>
    <row r="14">
      <c r="A14" s="58"/>
      <c r="B14" s="58"/>
      <c r="C14" s="61"/>
      <c r="D14" s="124" t="s">
        <v>393</v>
      </c>
      <c r="E14" s="146">
        <v>2128779.0</v>
      </c>
      <c r="F14" s="146">
        <v>1778618.0</v>
      </c>
      <c r="G14" s="146">
        <v>960918.0</v>
      </c>
    </row>
    <row r="15">
      <c r="A15" s="58"/>
      <c r="B15" s="58"/>
      <c r="C15" s="61"/>
      <c r="D15" s="124" t="s">
        <v>394</v>
      </c>
      <c r="E15" s="146">
        <v>642280.0</v>
      </c>
      <c r="F15" s="146">
        <v>540799.0</v>
      </c>
      <c r="G15" s="146">
        <v>250345.0</v>
      </c>
    </row>
    <row r="16">
      <c r="A16" s="58"/>
      <c r="B16" s="58"/>
      <c r="C16" s="61"/>
      <c r="D16" s="100"/>
    </row>
    <row r="17">
      <c r="A17" s="58"/>
      <c r="B17" s="58"/>
      <c r="C17" s="61"/>
      <c r="D17" s="147" t="s">
        <v>364</v>
      </c>
      <c r="E17" s="148">
        <f t="shared" ref="E17:G17" si="1">sum(E11:E15)</f>
        <v>4547389</v>
      </c>
      <c r="F17" s="148">
        <f t="shared" si="1"/>
        <v>3800838</v>
      </c>
      <c r="G17" s="148">
        <f t="shared" si="1"/>
        <v>2064928</v>
      </c>
    </row>
    <row r="18">
      <c r="A18" s="58"/>
      <c r="B18" s="58"/>
      <c r="C18" s="62"/>
      <c r="D18" s="63"/>
      <c r="E18" s="64"/>
      <c r="F18" s="64"/>
      <c r="G18" s="64"/>
    </row>
    <row r="19">
      <c r="A19" s="58"/>
      <c r="B19" s="58"/>
      <c r="C19" s="45" t="s">
        <v>396</v>
      </c>
      <c r="E19" s="115"/>
      <c r="F19" s="115"/>
      <c r="G19" s="115"/>
    </row>
    <row r="20">
      <c r="A20" s="58"/>
      <c r="B20" s="58"/>
      <c r="C20" s="102"/>
      <c r="D20" s="102" t="s">
        <v>397</v>
      </c>
      <c r="E20" s="116">
        <v>4534734.0</v>
      </c>
      <c r="F20" s="116">
        <v>3790654.0</v>
      </c>
      <c r="G20" s="116">
        <v>2064339.0</v>
      </c>
    </row>
    <row r="21">
      <c r="A21" s="58"/>
      <c r="B21" s="58"/>
      <c r="C21" s="58"/>
      <c r="D21" s="147" t="s">
        <v>398</v>
      </c>
      <c r="E21" s="149">
        <f t="shared" ref="E21:G21" si="2">sum(E22:E24)</f>
        <v>12655</v>
      </c>
      <c r="F21" s="149">
        <f t="shared" si="2"/>
        <v>10184</v>
      </c>
      <c r="G21" s="149">
        <f t="shared" si="2"/>
        <v>590</v>
      </c>
    </row>
    <row r="22">
      <c r="A22" s="58"/>
      <c r="B22" s="58"/>
      <c r="C22" s="61"/>
      <c r="D22" s="150" t="s">
        <v>399</v>
      </c>
      <c r="E22" s="146">
        <f>1130+1</f>
        <v>1131</v>
      </c>
      <c r="F22" s="146">
        <v>907.0</v>
      </c>
      <c r="G22" s="146">
        <v>44.0</v>
      </c>
    </row>
    <row r="23">
      <c r="A23" s="58"/>
      <c r="B23" s="58"/>
      <c r="C23" s="61"/>
      <c r="D23" s="150" t="s">
        <v>400</v>
      </c>
      <c r="E23" s="146">
        <v>4903.0</v>
      </c>
      <c r="F23" s="146">
        <v>3952.0</v>
      </c>
      <c r="G23" s="146">
        <v>251.0</v>
      </c>
    </row>
    <row r="24">
      <c r="A24" s="58"/>
      <c r="B24" s="58"/>
      <c r="C24" s="61"/>
      <c r="D24" s="150" t="s">
        <v>401</v>
      </c>
      <c r="E24" s="146">
        <v>6621.0</v>
      </c>
      <c r="F24" s="146">
        <v>5325.0</v>
      </c>
      <c r="G24" s="146">
        <v>295.0</v>
      </c>
    </row>
    <row r="25">
      <c r="A25" s="58"/>
      <c r="B25" s="58"/>
      <c r="C25" s="61"/>
      <c r="D25" s="151"/>
    </row>
    <row r="26">
      <c r="A26" s="58"/>
      <c r="B26" s="58"/>
      <c r="C26" s="61"/>
      <c r="D26" s="147" t="s">
        <v>364</v>
      </c>
      <c r="E26" s="148">
        <f t="shared" ref="E26:G26" si="3">sum(E20,E21)</f>
        <v>4547389</v>
      </c>
      <c r="F26" s="148">
        <f t="shared" si="3"/>
        <v>3800838</v>
      </c>
      <c r="G26" s="148">
        <f t="shared" si="3"/>
        <v>2064929</v>
      </c>
    </row>
    <row r="27">
      <c r="A27" s="58"/>
      <c r="B27" s="58"/>
      <c r="C27" s="62"/>
      <c r="D27" s="63"/>
      <c r="E27" s="64"/>
      <c r="F27" s="64"/>
      <c r="G27" s="64"/>
    </row>
    <row r="28">
      <c r="A28" s="58"/>
      <c r="B28" s="58"/>
      <c r="C28" s="90"/>
      <c r="D28" s="151"/>
      <c r="E28" s="117"/>
      <c r="F28" s="117"/>
      <c r="G28" s="117"/>
    </row>
    <row r="29">
      <c r="C29" s="61" t="s">
        <v>250</v>
      </c>
      <c r="D29" s="58"/>
    </row>
    <row r="30">
      <c r="C30" s="62"/>
      <c r="D30" s="63"/>
      <c r="E30" s="64"/>
      <c r="F30" s="64"/>
      <c r="G30" s="64"/>
    </row>
    <row r="31">
      <c r="C31" s="152" t="s">
        <v>412</v>
      </c>
    </row>
  </sheetData>
  <mergeCells count="2">
    <mergeCell ref="C10:D10"/>
    <mergeCell ref="C19:D1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58"/>
      <c r="B5" s="8"/>
      <c r="C5" s="35" t="s">
        <v>413</v>
      </c>
      <c r="D5" s="4"/>
      <c r="E5" s="112"/>
    </row>
    <row r="6">
      <c r="A6" s="58"/>
      <c r="B6" s="4"/>
      <c r="C6" s="4"/>
      <c r="D6" s="4"/>
      <c r="E6" s="5"/>
    </row>
    <row r="7">
      <c r="A7" s="58"/>
      <c r="B7" s="14"/>
      <c r="C7" s="15" t="s">
        <v>388</v>
      </c>
      <c r="D7" s="38"/>
      <c r="E7" s="113">
        <v>44926.0</v>
      </c>
    </row>
    <row r="8">
      <c r="A8" s="58"/>
      <c r="B8" s="58"/>
      <c r="C8" s="73"/>
      <c r="D8" s="45"/>
      <c r="E8" s="46"/>
    </row>
    <row r="9">
      <c r="A9" s="58"/>
      <c r="B9" s="58"/>
      <c r="C9" s="73"/>
      <c r="D9" s="45"/>
      <c r="E9" s="46"/>
    </row>
    <row r="10">
      <c r="A10" s="58"/>
      <c r="B10" s="58"/>
      <c r="C10" s="45" t="s">
        <v>414</v>
      </c>
      <c r="E10" s="46"/>
    </row>
    <row r="11">
      <c r="A11" s="58"/>
      <c r="B11" s="58"/>
      <c r="C11" s="102"/>
      <c r="D11" s="101" t="s">
        <v>415</v>
      </c>
      <c r="E11" s="144">
        <v>1539701.0</v>
      </c>
    </row>
    <row r="12">
      <c r="A12" s="58"/>
      <c r="B12" s="58"/>
      <c r="C12" s="58"/>
      <c r="D12" s="100" t="s">
        <v>416</v>
      </c>
      <c r="E12" s="145">
        <v>1383301.0</v>
      </c>
    </row>
    <row r="13">
      <c r="A13" s="58"/>
      <c r="B13" s="58"/>
      <c r="C13" s="61"/>
      <c r="D13" s="100" t="s">
        <v>417</v>
      </c>
      <c r="E13" s="146">
        <v>1688214.0</v>
      </c>
    </row>
    <row r="14">
      <c r="A14" s="58"/>
      <c r="B14" s="58"/>
      <c r="C14" s="61"/>
      <c r="D14" s="100" t="s">
        <v>418</v>
      </c>
      <c r="E14" s="146">
        <v>2428949.0</v>
      </c>
    </row>
    <row r="15">
      <c r="A15" s="58"/>
      <c r="B15" s="58"/>
      <c r="C15" s="61"/>
      <c r="D15" s="100"/>
      <c r="E15" s="153"/>
    </row>
    <row r="16">
      <c r="A16" s="58"/>
      <c r="B16" s="58"/>
      <c r="C16" s="61"/>
      <c r="D16" s="147" t="s">
        <v>364</v>
      </c>
      <c r="E16" s="148">
        <f>sum(E11:E14)</f>
        <v>7040165</v>
      </c>
    </row>
    <row r="17">
      <c r="A17" s="58"/>
      <c r="B17" s="58"/>
      <c r="C17" s="62"/>
      <c r="D17" s="63"/>
      <c r="E17" s="64"/>
    </row>
  </sheetData>
  <mergeCells count="1">
    <mergeCell ref="C10:D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58"/>
      <c r="B5" s="8"/>
      <c r="C5" s="35" t="s">
        <v>419</v>
      </c>
      <c r="D5" s="4"/>
      <c r="E5" s="112"/>
    </row>
    <row r="6">
      <c r="A6" s="58"/>
      <c r="B6" s="4"/>
      <c r="C6" s="4"/>
      <c r="D6" s="4"/>
      <c r="E6" s="5"/>
    </row>
    <row r="7">
      <c r="A7" s="58"/>
      <c r="B7" s="14"/>
      <c r="C7" s="15" t="s">
        <v>388</v>
      </c>
      <c r="D7" s="38"/>
      <c r="E7" s="113">
        <v>44926.0</v>
      </c>
    </row>
    <row r="8">
      <c r="A8" s="58"/>
      <c r="B8" s="58"/>
      <c r="C8" s="73"/>
      <c r="D8" s="45"/>
      <c r="E8" s="46"/>
    </row>
    <row r="9">
      <c r="A9" s="58"/>
      <c r="B9" s="58"/>
      <c r="C9" s="73"/>
      <c r="D9" s="45"/>
      <c r="E9" s="46"/>
    </row>
    <row r="10">
      <c r="A10" s="58"/>
      <c r="B10" s="58"/>
      <c r="C10" s="45" t="s">
        <v>420</v>
      </c>
      <c r="E10" s="46"/>
    </row>
    <row r="11">
      <c r="A11" s="58"/>
      <c r="B11" s="58"/>
      <c r="C11" s="102"/>
      <c r="D11" s="101" t="s">
        <v>421</v>
      </c>
      <c r="E11" s="154">
        <v>570271.8</v>
      </c>
    </row>
    <row r="12">
      <c r="A12" s="58"/>
      <c r="B12" s="58"/>
      <c r="C12" s="58"/>
      <c r="D12" s="100" t="s">
        <v>422</v>
      </c>
      <c r="E12" s="155">
        <v>18593.8</v>
      </c>
    </row>
    <row r="13">
      <c r="A13" s="58"/>
      <c r="B13" s="58"/>
      <c r="C13" s="61"/>
      <c r="D13" s="147" t="s">
        <v>364</v>
      </c>
      <c r="E13" s="156">
        <v>588865.6</v>
      </c>
    </row>
    <row r="15">
      <c r="A15" s="58"/>
      <c r="B15" s="58"/>
      <c r="C15" s="62"/>
      <c r="D15" s="63"/>
      <c r="E15" s="64"/>
    </row>
    <row r="17">
      <c r="C17" s="61" t="s">
        <v>250</v>
      </c>
      <c r="D17" s="58"/>
    </row>
    <row r="18">
      <c r="C18" s="62"/>
      <c r="D18" s="63"/>
      <c r="E18" s="64"/>
    </row>
    <row r="19">
      <c r="C19" s="152" t="s">
        <v>423</v>
      </c>
    </row>
    <row r="20">
      <c r="C20" s="152" t="s">
        <v>412</v>
      </c>
    </row>
  </sheetData>
  <mergeCells count="1">
    <mergeCell ref="C10:D1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58"/>
      <c r="B5" s="8"/>
      <c r="C5" s="35" t="s">
        <v>424</v>
      </c>
      <c r="D5" s="4"/>
      <c r="E5" s="112"/>
    </row>
    <row r="6">
      <c r="A6" s="58"/>
      <c r="B6" s="4"/>
      <c r="C6" s="4"/>
      <c r="D6" s="4"/>
      <c r="E6" s="5"/>
    </row>
    <row r="7">
      <c r="A7" s="58"/>
      <c r="B7" s="14"/>
      <c r="C7" s="15" t="s">
        <v>425</v>
      </c>
      <c r="D7" s="38"/>
      <c r="E7" s="113">
        <v>44926.0</v>
      </c>
    </row>
    <row r="8">
      <c r="A8" s="58"/>
      <c r="B8" s="58"/>
      <c r="C8" s="73"/>
      <c r="D8" s="45"/>
      <c r="E8" s="46"/>
    </row>
    <row r="9">
      <c r="A9" s="58"/>
      <c r="B9" s="58"/>
      <c r="C9" s="73"/>
      <c r="D9" s="45"/>
      <c r="E9" s="46"/>
    </row>
    <row r="10">
      <c r="A10" s="58"/>
      <c r="B10" s="58"/>
      <c r="C10" s="45" t="s">
        <v>426</v>
      </c>
      <c r="E10" s="46"/>
    </row>
    <row r="11">
      <c r="A11" s="58"/>
      <c r="B11" s="58"/>
      <c r="C11" s="102"/>
      <c r="D11" s="101" t="s">
        <v>427</v>
      </c>
      <c r="E11" s="157">
        <v>0.7622</v>
      </c>
    </row>
    <row r="12">
      <c r="A12" s="58"/>
      <c r="B12" s="58"/>
      <c r="C12" s="58"/>
      <c r="D12" s="100" t="s">
        <v>428</v>
      </c>
      <c r="E12" s="158" t="s">
        <v>429</v>
      </c>
    </row>
    <row r="14">
      <c r="A14" s="58"/>
      <c r="B14" s="58"/>
      <c r="C14" s="62"/>
      <c r="D14" s="63"/>
      <c r="E14" s="64"/>
    </row>
    <row r="16">
      <c r="C16" s="61" t="s">
        <v>250</v>
      </c>
      <c r="D16" s="58"/>
    </row>
    <row r="17">
      <c r="C17" s="62"/>
      <c r="D17" s="63"/>
      <c r="E17" s="64"/>
    </row>
    <row r="18">
      <c r="C18" s="152" t="s">
        <v>430</v>
      </c>
    </row>
  </sheetData>
  <mergeCells count="1">
    <mergeCell ref="C10:D1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8" width="15.75"/>
  </cols>
  <sheetData>
    <row r="1">
      <c r="A1" s="1"/>
      <c r="B1" s="1"/>
      <c r="C1" s="1"/>
      <c r="D1" s="1"/>
      <c r="E1" s="2"/>
      <c r="F1" s="3"/>
      <c r="G1" s="3"/>
      <c r="H1" s="3"/>
    </row>
    <row r="2" ht="6.75" customHeight="1">
      <c r="A2" s="1"/>
      <c r="B2" s="4"/>
      <c r="C2" s="4"/>
      <c r="D2" s="4"/>
      <c r="E2" s="5"/>
      <c r="F2" s="6"/>
      <c r="G2" s="5"/>
      <c r="H2" s="6"/>
    </row>
    <row r="3">
      <c r="A3" s="1"/>
      <c r="B3" s="4"/>
      <c r="C3" s="4"/>
      <c r="D3" s="4"/>
      <c r="E3" s="5"/>
      <c r="F3" s="6"/>
      <c r="G3" s="5"/>
      <c r="H3" s="6"/>
    </row>
    <row r="4">
      <c r="A4" s="1"/>
      <c r="B4" s="4"/>
      <c r="C4" s="4"/>
      <c r="D4" s="4"/>
      <c r="E4" s="5"/>
      <c r="F4" s="6"/>
      <c r="G4" s="5"/>
      <c r="H4" s="6"/>
    </row>
    <row r="5">
      <c r="A5" s="7"/>
      <c r="B5" s="8"/>
      <c r="C5" s="35" t="s">
        <v>431</v>
      </c>
      <c r="D5" s="4"/>
      <c r="E5" s="11"/>
      <c r="F5" s="6"/>
      <c r="G5" s="5"/>
      <c r="H5" s="6"/>
    </row>
    <row r="6">
      <c r="A6" s="1"/>
      <c r="B6" s="4"/>
      <c r="C6" s="4"/>
      <c r="D6" s="35"/>
      <c r="E6" s="159" t="s">
        <v>432</v>
      </c>
      <c r="F6" s="37"/>
      <c r="G6" s="159" t="s">
        <v>433</v>
      </c>
      <c r="H6" s="37"/>
    </row>
    <row r="7">
      <c r="A7" s="13"/>
      <c r="B7" s="14"/>
      <c r="C7" s="15" t="s">
        <v>1</v>
      </c>
      <c r="D7" s="38"/>
      <c r="E7" s="160">
        <v>44926.0</v>
      </c>
      <c r="F7" s="160">
        <v>44561.0</v>
      </c>
      <c r="G7" s="160">
        <v>44926.0</v>
      </c>
      <c r="H7" s="160">
        <v>44561.0</v>
      </c>
    </row>
    <row r="8">
      <c r="A8" s="19"/>
      <c r="B8" s="72"/>
      <c r="C8" s="73"/>
      <c r="D8" s="45" t="s">
        <v>434</v>
      </c>
      <c r="E8" s="161">
        <v>65333.0</v>
      </c>
      <c r="F8" s="162">
        <v>27374.0</v>
      </c>
      <c r="G8" s="161">
        <v>74091.0</v>
      </c>
      <c r="H8" s="161">
        <v>30606.0</v>
      </c>
    </row>
    <row r="9">
      <c r="A9" s="19"/>
      <c r="B9" s="72"/>
      <c r="C9" s="73"/>
      <c r="D9" s="45" t="s">
        <v>435</v>
      </c>
      <c r="E9" s="161">
        <v>1.91041598E8</v>
      </c>
      <c r="F9" s="162" t="s">
        <v>131</v>
      </c>
      <c r="G9" s="161">
        <v>6.77583105E8</v>
      </c>
      <c r="H9" s="161">
        <v>2.08388039E8</v>
      </c>
    </row>
    <row r="10">
      <c r="A10" s="19"/>
      <c r="B10" s="72"/>
      <c r="C10" s="73"/>
      <c r="D10" s="45" t="s">
        <v>436</v>
      </c>
      <c r="E10" s="45"/>
      <c r="F10" s="163"/>
      <c r="G10" s="45"/>
      <c r="H10" s="45"/>
    </row>
    <row r="11">
      <c r="A11" s="19"/>
      <c r="B11" s="72"/>
      <c r="C11" s="73"/>
      <c r="D11" s="45" t="s">
        <v>437</v>
      </c>
      <c r="E11" s="45"/>
      <c r="F11" s="163"/>
      <c r="G11" s="45"/>
      <c r="H11" s="45"/>
    </row>
    <row r="12">
      <c r="A12" s="19"/>
      <c r="B12" s="72"/>
      <c r="C12" s="73"/>
      <c r="D12" s="45" t="s">
        <v>438</v>
      </c>
      <c r="E12" s="45"/>
      <c r="F12" s="163"/>
      <c r="G12" s="45"/>
      <c r="H12" s="45"/>
    </row>
    <row r="13">
      <c r="A13" s="19"/>
      <c r="B13" s="72"/>
      <c r="C13" s="95"/>
      <c r="D13" s="96" t="s">
        <v>439</v>
      </c>
      <c r="E13" s="45"/>
      <c r="F13" s="163"/>
      <c r="G13" s="45"/>
      <c r="H13" s="45"/>
    </row>
    <row r="14">
      <c r="A14" s="19"/>
      <c r="B14" s="72"/>
      <c r="C14" s="73"/>
      <c r="D14" s="94" t="s">
        <v>440</v>
      </c>
      <c r="E14" s="161">
        <v>1.91041598E8</v>
      </c>
      <c r="F14" s="162">
        <v>27374.0</v>
      </c>
      <c r="G14" s="161">
        <v>6.77583105E8</v>
      </c>
      <c r="H14" s="161">
        <v>2.08388039E8</v>
      </c>
    </row>
    <row r="15">
      <c r="A15" s="19"/>
      <c r="B15" s="72"/>
      <c r="C15" s="73"/>
      <c r="D15" s="94" t="s">
        <v>441</v>
      </c>
      <c r="E15" s="164">
        <v>44926.0</v>
      </c>
      <c r="F15" s="165"/>
      <c r="G15" s="164">
        <v>44561.0</v>
      </c>
    </row>
    <row r="16">
      <c r="A16" s="19"/>
      <c r="B16" s="72"/>
      <c r="C16" s="73"/>
      <c r="D16" s="166" t="s">
        <v>442</v>
      </c>
      <c r="E16" s="167">
        <v>4.782890907E9</v>
      </c>
      <c r="F16" s="110"/>
      <c r="G16" s="168">
        <v>2.605153847E9</v>
      </c>
      <c r="H16" s="110"/>
    </row>
    <row r="17">
      <c r="A17" s="58"/>
      <c r="B17" s="58"/>
      <c r="C17" s="58"/>
      <c r="D17" s="58"/>
      <c r="E17" s="59"/>
      <c r="F17" s="60"/>
      <c r="G17" s="59"/>
      <c r="H17" s="60"/>
    </row>
    <row r="18">
      <c r="A18" s="58"/>
      <c r="B18" s="61"/>
      <c r="C18" s="61" t="s">
        <v>250</v>
      </c>
      <c r="D18" s="58"/>
    </row>
    <row r="19">
      <c r="A19" s="58"/>
      <c r="B19" s="83"/>
      <c r="C19" s="62"/>
      <c r="D19" s="63"/>
      <c r="E19" s="64"/>
      <c r="F19" s="64"/>
      <c r="G19" s="64"/>
      <c r="H19" s="64"/>
    </row>
    <row r="20">
      <c r="A20" s="99"/>
      <c r="B20" s="99"/>
      <c r="C20" s="99"/>
      <c r="D20" s="99"/>
      <c r="E20" s="99"/>
      <c r="F20" s="99"/>
      <c r="G20" s="99"/>
      <c r="H20" s="99"/>
    </row>
    <row r="21">
      <c r="A21" s="58"/>
      <c r="B21" s="58"/>
      <c r="C21" s="58"/>
      <c r="D21" s="58"/>
      <c r="E21" s="59"/>
      <c r="F21" s="60"/>
      <c r="G21" s="59"/>
      <c r="H21" s="60"/>
    </row>
    <row r="22">
      <c r="A22" s="58"/>
      <c r="B22" s="58"/>
      <c r="C22" s="58"/>
      <c r="D22" s="58"/>
      <c r="E22" s="59"/>
      <c r="F22" s="60"/>
      <c r="G22" s="59"/>
      <c r="H22" s="60"/>
    </row>
  </sheetData>
  <mergeCells count="6">
    <mergeCell ref="E6:F6"/>
    <mergeCell ref="G6:H6"/>
    <mergeCell ref="E15:F15"/>
    <mergeCell ref="G15:H15"/>
    <mergeCell ref="E16:F16"/>
    <mergeCell ref="G16:H1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.75"/>
    <col customWidth="1" min="3" max="3" width="16.38"/>
    <col customWidth="1" min="4" max="11" width="14.0"/>
    <col customWidth="1" min="12" max="27" width="18.5"/>
  </cols>
  <sheetData>
    <row r="2"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B4" s="35"/>
      <c r="C4" s="35"/>
      <c r="D4" s="4"/>
      <c r="E4" s="4"/>
      <c r="F4" s="4"/>
      <c r="G4" s="4"/>
      <c r="H4" s="4"/>
      <c r="I4" s="4"/>
      <c r="J4" s="4"/>
      <c r="K4" s="4"/>
    </row>
    <row r="5">
      <c r="B5" s="35"/>
      <c r="C5" s="35" t="s">
        <v>443</v>
      </c>
      <c r="D5" s="4"/>
      <c r="E5" s="4"/>
      <c r="F5" s="4"/>
      <c r="G5" s="4"/>
      <c r="H5" s="4"/>
      <c r="I5" s="4"/>
      <c r="J5" s="4"/>
      <c r="K5" s="4"/>
    </row>
    <row r="6">
      <c r="B6" s="35"/>
      <c r="C6" s="35" t="s">
        <v>444</v>
      </c>
      <c r="D6" s="4"/>
      <c r="E6" s="4"/>
      <c r="F6" s="4"/>
      <c r="G6" s="4"/>
      <c r="H6" s="4"/>
      <c r="I6" s="4"/>
      <c r="J6" s="4"/>
      <c r="K6" s="4"/>
    </row>
    <row r="7">
      <c r="B7" s="35"/>
      <c r="C7" s="35" t="s">
        <v>445</v>
      </c>
      <c r="D7" s="4"/>
      <c r="E7" s="4"/>
      <c r="F7" s="4"/>
      <c r="G7" s="4"/>
      <c r="H7" s="4"/>
      <c r="I7" s="4"/>
      <c r="J7" s="4"/>
      <c r="K7" s="160">
        <v>44926.0</v>
      </c>
    </row>
    <row r="8">
      <c r="B8" s="8"/>
      <c r="C8" s="8"/>
      <c r="D8" s="169" t="s">
        <v>446</v>
      </c>
      <c r="H8" s="169" t="s">
        <v>447</v>
      </c>
    </row>
    <row r="9">
      <c r="B9" s="170"/>
      <c r="C9" s="170"/>
      <c r="D9" s="171" t="s">
        <v>448</v>
      </c>
      <c r="E9" s="172"/>
      <c r="F9" s="173" t="s">
        <v>449</v>
      </c>
      <c r="G9" s="174"/>
      <c r="H9" s="171" t="s">
        <v>448</v>
      </c>
      <c r="I9" s="172"/>
      <c r="J9" s="173" t="s">
        <v>449</v>
      </c>
    </row>
    <row r="10">
      <c r="B10" s="175"/>
      <c r="C10" s="176" t="s">
        <v>450</v>
      </c>
      <c r="D10" s="177" t="s">
        <v>451</v>
      </c>
      <c r="E10" s="178" t="s">
        <v>452</v>
      </c>
      <c r="F10" s="177" t="s">
        <v>451</v>
      </c>
      <c r="G10" s="178" t="s">
        <v>452</v>
      </c>
      <c r="H10" s="177" t="s">
        <v>451</v>
      </c>
      <c r="I10" s="178" t="s">
        <v>452</v>
      </c>
      <c r="J10" s="177" t="s">
        <v>451</v>
      </c>
      <c r="K10" s="177" t="s">
        <v>452</v>
      </c>
    </row>
    <row r="11">
      <c r="B11" s="179"/>
      <c r="C11" s="179" t="s">
        <v>453</v>
      </c>
      <c r="D11" s="180">
        <v>50.0</v>
      </c>
      <c r="E11" s="181">
        <v>10566.0</v>
      </c>
      <c r="F11" s="180">
        <v>0.0</v>
      </c>
      <c r="G11" s="181">
        <v>0.0</v>
      </c>
      <c r="H11" s="180">
        <v>143.0</v>
      </c>
      <c r="I11" s="181">
        <v>0.0</v>
      </c>
      <c r="J11" s="180">
        <v>0.0</v>
      </c>
      <c r="K11" s="180">
        <v>0.0</v>
      </c>
    </row>
    <row r="12">
      <c r="B12" s="179"/>
      <c r="C12" s="179" t="s">
        <v>454</v>
      </c>
      <c r="D12" s="180">
        <v>36.0</v>
      </c>
      <c r="E12" s="181">
        <v>0.0</v>
      </c>
      <c r="F12" s="180">
        <v>0.0</v>
      </c>
      <c r="G12" s="181">
        <v>0.0</v>
      </c>
      <c r="H12" s="180">
        <v>0.0</v>
      </c>
      <c r="I12" s="181">
        <v>0.0</v>
      </c>
      <c r="J12" s="180">
        <v>0.0</v>
      </c>
      <c r="K12" s="180">
        <v>0.0</v>
      </c>
    </row>
    <row r="13">
      <c r="B13" s="179"/>
      <c r="C13" s="179" t="s">
        <v>455</v>
      </c>
      <c r="D13" s="180">
        <v>0.0</v>
      </c>
      <c r="E13" s="181">
        <v>0.0</v>
      </c>
      <c r="F13" s="180">
        <v>0.0</v>
      </c>
      <c r="G13" s="181">
        <v>0.0</v>
      </c>
      <c r="H13" s="180">
        <v>0.0</v>
      </c>
      <c r="I13" s="181">
        <v>0.0</v>
      </c>
      <c r="J13" s="180">
        <v>0.0</v>
      </c>
      <c r="K13" s="180">
        <v>0.0</v>
      </c>
    </row>
    <row r="14">
      <c r="B14" s="179"/>
      <c r="C14" s="179" t="s">
        <v>456</v>
      </c>
      <c r="D14" s="180">
        <v>0.0</v>
      </c>
      <c r="E14" s="181">
        <v>0.0</v>
      </c>
      <c r="F14" s="180">
        <v>0.0</v>
      </c>
      <c r="G14" s="181">
        <v>0.0</v>
      </c>
      <c r="H14" s="180">
        <v>0.0</v>
      </c>
      <c r="I14" s="181">
        <v>0.0</v>
      </c>
      <c r="J14" s="180">
        <v>0.0</v>
      </c>
      <c r="K14" s="180">
        <v>0.0</v>
      </c>
    </row>
  </sheetData>
  <mergeCells count="6">
    <mergeCell ref="D8:G8"/>
    <mergeCell ref="H8:K8"/>
    <mergeCell ref="D9:E9"/>
    <mergeCell ref="F9:G9"/>
    <mergeCell ref="H9:I9"/>
    <mergeCell ref="J9:K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4.63"/>
    <col customWidth="1" min="3" max="3" width="36.38"/>
    <col customWidth="1" min="4" max="4" width="23.38"/>
    <col customWidth="1" min="6" max="6" width="68.13"/>
    <col customWidth="1" min="7" max="17" width="15.38"/>
  </cols>
  <sheetData>
    <row r="1">
      <c r="A1" s="182" t="s">
        <v>457</v>
      </c>
      <c r="B1" s="183" t="s">
        <v>458</v>
      </c>
      <c r="C1" s="183" t="s">
        <v>459</v>
      </c>
      <c r="D1" s="183" t="s">
        <v>460</v>
      </c>
      <c r="E1" s="183" t="s">
        <v>461</v>
      </c>
      <c r="F1" s="183" t="s">
        <v>462</v>
      </c>
      <c r="G1" s="184" t="s">
        <v>463</v>
      </c>
      <c r="H1" s="184" t="s">
        <v>464</v>
      </c>
      <c r="I1" s="184" t="s">
        <v>465</v>
      </c>
      <c r="J1" s="184" t="s">
        <v>466</v>
      </c>
      <c r="K1" s="184" t="s">
        <v>467</v>
      </c>
      <c r="L1" s="184" t="s">
        <v>468</v>
      </c>
      <c r="M1" s="184" t="s">
        <v>469</v>
      </c>
      <c r="N1" s="184" t="s">
        <v>470</v>
      </c>
      <c r="O1" s="184" t="s">
        <v>471</v>
      </c>
      <c r="P1" s="184" t="s">
        <v>472</v>
      </c>
      <c r="Q1" s="185" t="s">
        <v>473</v>
      </c>
      <c r="R1" s="58"/>
      <c r="S1" s="58"/>
      <c r="T1" s="58"/>
      <c r="U1" s="58"/>
      <c r="V1" s="58"/>
      <c r="W1" s="58"/>
      <c r="X1" s="58"/>
      <c r="Y1" s="58"/>
      <c r="Z1" s="58"/>
    </row>
    <row r="2">
      <c r="A2" s="186" t="s">
        <v>474</v>
      </c>
      <c r="B2" s="187" t="s">
        <v>475</v>
      </c>
      <c r="C2" s="186" t="s">
        <v>0</v>
      </c>
      <c r="D2" s="188" t="s">
        <v>476</v>
      </c>
      <c r="E2" s="189" t="s">
        <v>2</v>
      </c>
      <c r="F2" s="186" t="s">
        <v>3</v>
      </c>
      <c r="G2" s="190" t="str">
        <f>CCA!E8</f>
        <v>NU FINANCEIRA S.A. – SOCIEDADE DE CRÉDITO, FINANCIAMENTO E INVESTIMENTO</v>
      </c>
      <c r="H2" s="190" t="str">
        <f>CCA!F8</f>
        <v>NU FINANCEIRA S.A. – SOCIEDADE DE CRÉDITO, FINANCIAMENTO E INVESTIMENTO</v>
      </c>
      <c r="I2" s="191"/>
      <c r="J2" s="191"/>
      <c r="K2" s="191"/>
      <c r="L2" s="191"/>
      <c r="M2" s="191"/>
      <c r="N2" s="191"/>
      <c r="O2" s="191"/>
      <c r="P2" s="191"/>
      <c r="Q2" s="191"/>
      <c r="R2" s="58"/>
      <c r="S2" s="58"/>
      <c r="T2" s="58"/>
      <c r="U2" s="58"/>
      <c r="V2" s="58"/>
      <c r="W2" s="58"/>
      <c r="X2" s="58"/>
      <c r="Y2" s="58"/>
      <c r="Z2" s="58"/>
    </row>
    <row r="3">
      <c r="A3" s="186" t="s">
        <v>474</v>
      </c>
      <c r="B3" s="187" t="s">
        <v>475</v>
      </c>
      <c r="C3" s="186" t="s">
        <v>0</v>
      </c>
      <c r="D3" s="188" t="s">
        <v>476</v>
      </c>
      <c r="E3" s="189" t="s">
        <v>5</v>
      </c>
      <c r="F3" s="186" t="s">
        <v>6</v>
      </c>
      <c r="G3" s="190" t="str">
        <f>CCA!E9</f>
        <v>LFSN1900844</v>
      </c>
      <c r="H3" s="190" t="str">
        <f>CCA!F9</f>
        <v>LFSN22008CB</v>
      </c>
      <c r="I3" s="191"/>
      <c r="J3" s="191"/>
      <c r="K3" s="191"/>
      <c r="L3" s="191"/>
      <c r="M3" s="191"/>
      <c r="N3" s="191"/>
      <c r="O3" s="191"/>
      <c r="P3" s="191"/>
      <c r="Q3" s="191"/>
      <c r="R3" s="58"/>
      <c r="S3" s="58"/>
      <c r="T3" s="58"/>
      <c r="U3" s="58"/>
      <c r="V3" s="58"/>
      <c r="W3" s="58"/>
      <c r="X3" s="58"/>
      <c r="Y3" s="58"/>
      <c r="Z3" s="58"/>
    </row>
    <row r="4">
      <c r="A4" s="186" t="s">
        <v>474</v>
      </c>
      <c r="B4" s="187" t="s">
        <v>475</v>
      </c>
      <c r="C4" s="186" t="s">
        <v>0</v>
      </c>
      <c r="D4" s="188" t="s">
        <v>476</v>
      </c>
      <c r="E4" s="189" t="s">
        <v>10</v>
      </c>
      <c r="F4" s="186" t="s">
        <v>11</v>
      </c>
      <c r="G4" s="190" t="str">
        <f>CCA!E10</f>
        <v>Lei nº 12.249, de 11 de junho de 2010 |Resolução nº 4.123, de 23 de agosto de 2012, do Conselho Monetário Nacional | Resolução nº 4.192, de 1º de março de 2013, do CMN | Lei nº 6.385, de 7 de dezembro de 1976 | Instrução CVM nº 476, de 16 de janeiro de 2009</v>
      </c>
      <c r="H4" s="190" t="str">
        <f>CCA!F10</f>
        <v>Lei nº 12.249, de 11 de junho de 2010 |Resolução nº 4.123, de 23 de agosto de 2012, do Conselho Monetário Nacional | Resolução nº 4.192, de 1º de março de 2013, do CMN | Lei nº 6.385, de 7 de dezembro de 1976 | Instrução CVM nº 476, de 16 de janeiro de 2009</v>
      </c>
      <c r="I4" s="191"/>
      <c r="J4" s="191"/>
      <c r="K4" s="191"/>
      <c r="L4" s="191"/>
      <c r="M4" s="191"/>
      <c r="N4" s="191"/>
      <c r="O4" s="191"/>
      <c r="P4" s="191"/>
      <c r="Q4" s="191"/>
      <c r="R4" s="58"/>
      <c r="S4" s="58"/>
      <c r="T4" s="58"/>
      <c r="U4" s="58"/>
      <c r="V4" s="58"/>
      <c r="W4" s="58"/>
      <c r="X4" s="58"/>
      <c r="Y4" s="58"/>
      <c r="Z4" s="58"/>
    </row>
    <row r="5">
      <c r="A5" s="186" t="s">
        <v>474</v>
      </c>
      <c r="B5" s="187" t="s">
        <v>475</v>
      </c>
      <c r="C5" s="186" t="s">
        <v>0</v>
      </c>
      <c r="D5" s="188" t="s">
        <v>476</v>
      </c>
      <c r="E5" s="189" t="s">
        <v>13</v>
      </c>
      <c r="F5" s="186" t="s">
        <v>14</v>
      </c>
      <c r="G5" s="190" t="str">
        <f>CCA!E11</f>
        <v>NA</v>
      </c>
      <c r="H5" s="190" t="str">
        <f>CCA!F11</f>
        <v>NA</v>
      </c>
      <c r="I5" s="191"/>
      <c r="J5" s="191"/>
      <c r="K5" s="191"/>
      <c r="L5" s="191"/>
      <c r="M5" s="191"/>
      <c r="N5" s="191"/>
      <c r="O5" s="191"/>
      <c r="P5" s="191"/>
      <c r="Q5" s="191"/>
      <c r="R5" s="58"/>
      <c r="S5" s="58"/>
      <c r="T5" s="58"/>
      <c r="U5" s="58"/>
      <c r="V5" s="58"/>
      <c r="W5" s="58"/>
      <c r="X5" s="58"/>
      <c r="Y5" s="58"/>
      <c r="Z5" s="58"/>
    </row>
    <row r="6">
      <c r="A6" s="186" t="s">
        <v>474</v>
      </c>
      <c r="B6" s="187" t="s">
        <v>475</v>
      </c>
      <c r="C6" s="186" t="s">
        <v>0</v>
      </c>
      <c r="D6" s="188" t="s">
        <v>476</v>
      </c>
      <c r="E6" s="189" t="s">
        <v>16</v>
      </c>
      <c r="F6" s="186" t="s">
        <v>17</v>
      </c>
      <c r="G6" s="190" t="str">
        <f>CCA!E12</f>
        <v>Nível II</v>
      </c>
      <c r="H6" s="190" t="str">
        <f>CCA!F12</f>
        <v>Nível II</v>
      </c>
      <c r="I6" s="191"/>
      <c r="J6" s="191"/>
      <c r="K6" s="191"/>
      <c r="L6" s="191"/>
      <c r="M6" s="191"/>
      <c r="N6" s="191"/>
      <c r="O6" s="191"/>
      <c r="P6" s="191"/>
      <c r="Q6" s="191"/>
      <c r="R6" s="58"/>
      <c r="S6" s="58"/>
      <c r="T6" s="58"/>
      <c r="U6" s="58"/>
      <c r="V6" s="58"/>
      <c r="W6" s="58"/>
      <c r="X6" s="58"/>
      <c r="Y6" s="58"/>
      <c r="Z6" s="58"/>
    </row>
    <row r="7">
      <c r="A7" s="186" t="s">
        <v>474</v>
      </c>
      <c r="B7" s="187" t="s">
        <v>475</v>
      </c>
      <c r="C7" s="186" t="s">
        <v>0</v>
      </c>
      <c r="D7" s="188" t="s">
        <v>476</v>
      </c>
      <c r="E7" s="189" t="s">
        <v>20</v>
      </c>
      <c r="F7" s="186" t="s">
        <v>21</v>
      </c>
      <c r="G7" s="190" t="str">
        <f>CCA!E13</f>
        <v>Conglomerado</v>
      </c>
      <c r="H7" s="190" t="str">
        <f>CCA!F13</f>
        <v>Conglomerado</v>
      </c>
      <c r="I7" s="191"/>
      <c r="J7" s="191"/>
      <c r="K7" s="191"/>
      <c r="L7" s="191"/>
      <c r="M7" s="191"/>
      <c r="N7" s="191"/>
      <c r="O7" s="191"/>
      <c r="P7" s="191"/>
      <c r="Q7" s="191"/>
      <c r="R7" s="58"/>
      <c r="S7" s="58"/>
      <c r="T7" s="58"/>
      <c r="U7" s="58"/>
      <c r="V7" s="58"/>
      <c r="W7" s="58"/>
      <c r="X7" s="58"/>
      <c r="Y7" s="58"/>
      <c r="Z7" s="58"/>
    </row>
    <row r="8">
      <c r="A8" s="186" t="s">
        <v>474</v>
      </c>
      <c r="B8" s="187" t="s">
        <v>475</v>
      </c>
      <c r="C8" s="186" t="s">
        <v>0</v>
      </c>
      <c r="D8" s="188" t="s">
        <v>476</v>
      </c>
      <c r="E8" s="189" t="s">
        <v>23</v>
      </c>
      <c r="F8" s="186" t="s">
        <v>24</v>
      </c>
      <c r="G8" s="190" t="str">
        <f>CCA!E14</f>
        <v>Letra Financeira</v>
      </c>
      <c r="H8" s="190" t="str">
        <f>CCA!F14</f>
        <v>Letra Financeira</v>
      </c>
      <c r="I8" s="191"/>
      <c r="J8" s="191"/>
      <c r="K8" s="191"/>
      <c r="L8" s="191"/>
      <c r="M8" s="191"/>
      <c r="N8" s="191"/>
      <c r="O8" s="191"/>
      <c r="P8" s="191"/>
      <c r="Q8" s="191"/>
      <c r="R8" s="58"/>
      <c r="S8" s="58"/>
      <c r="T8" s="58"/>
      <c r="U8" s="58"/>
      <c r="V8" s="58"/>
      <c r="W8" s="58"/>
      <c r="X8" s="58"/>
      <c r="Y8" s="58"/>
      <c r="Z8" s="58"/>
    </row>
    <row r="9">
      <c r="A9" s="186" t="s">
        <v>474</v>
      </c>
      <c r="B9" s="187" t="s">
        <v>475</v>
      </c>
      <c r="C9" s="186" t="s">
        <v>0</v>
      </c>
      <c r="D9" s="188" t="s">
        <v>476</v>
      </c>
      <c r="E9" s="189" t="s">
        <v>26</v>
      </c>
      <c r="F9" s="186" t="s">
        <v>27</v>
      </c>
      <c r="G9" s="192">
        <f>CCA!E15</f>
        <v>114873239.7</v>
      </c>
      <c r="H9" s="192">
        <f>CCA!F15</f>
        <v>866716048.8</v>
      </c>
      <c r="I9" s="191"/>
      <c r="J9" s="191"/>
      <c r="K9" s="191"/>
      <c r="L9" s="191"/>
      <c r="M9" s="191"/>
      <c r="N9" s="191"/>
      <c r="O9" s="191"/>
      <c r="P9" s="191"/>
      <c r="Q9" s="191"/>
      <c r="R9" s="58"/>
      <c r="S9" s="58"/>
      <c r="T9" s="58"/>
      <c r="U9" s="58"/>
      <c r="V9" s="58"/>
      <c r="W9" s="58"/>
      <c r="X9" s="58"/>
      <c r="Y9" s="58"/>
      <c r="Z9" s="58"/>
    </row>
    <row r="10">
      <c r="A10" s="186" t="s">
        <v>474</v>
      </c>
      <c r="B10" s="187" t="s">
        <v>475</v>
      </c>
      <c r="C10" s="186" t="s">
        <v>0</v>
      </c>
      <c r="D10" s="188" t="s">
        <v>476</v>
      </c>
      <c r="E10" s="189" t="s">
        <v>28</v>
      </c>
      <c r="F10" s="186" t="s">
        <v>29</v>
      </c>
      <c r="G10" s="192">
        <f>CCA!E16</f>
        <v>75000000</v>
      </c>
      <c r="H10" s="192">
        <f>CCA!F16</f>
        <v>800000000</v>
      </c>
      <c r="I10" s="191"/>
      <c r="J10" s="191"/>
      <c r="K10" s="191"/>
      <c r="L10" s="191"/>
      <c r="M10" s="191"/>
      <c r="N10" s="191"/>
      <c r="O10" s="191"/>
      <c r="P10" s="191"/>
      <c r="Q10" s="191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186" t="s">
        <v>474</v>
      </c>
      <c r="B11" s="187" t="s">
        <v>475</v>
      </c>
      <c r="C11" s="186" t="s">
        <v>0</v>
      </c>
      <c r="D11" s="188" t="s">
        <v>476</v>
      </c>
      <c r="E11" s="189" t="s">
        <v>30</v>
      </c>
      <c r="F11" s="186" t="s">
        <v>31</v>
      </c>
      <c r="G11" s="190" t="str">
        <f>CCA!E17</f>
        <v>Passivo – custo amortizado</v>
      </c>
      <c r="H11" s="190" t="str">
        <f>CCA!F17</f>
        <v>Passivo – custo amortizado</v>
      </c>
      <c r="I11" s="191"/>
      <c r="J11" s="191"/>
      <c r="K11" s="191"/>
      <c r="L11" s="191"/>
      <c r="M11" s="191"/>
      <c r="N11" s="191"/>
      <c r="O11" s="191"/>
      <c r="P11" s="191"/>
      <c r="Q11" s="191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186" t="s">
        <v>474</v>
      </c>
      <c r="B12" s="187" t="s">
        <v>475</v>
      </c>
      <c r="C12" s="186" t="s">
        <v>0</v>
      </c>
      <c r="D12" s="188" t="s">
        <v>476</v>
      </c>
      <c r="E12" s="189" t="s">
        <v>33</v>
      </c>
      <c r="F12" s="186" t="s">
        <v>34</v>
      </c>
      <c r="G12" s="190" t="str">
        <f>CCA!E18</f>
        <v>14/06/19</v>
      </c>
      <c r="H12" s="190" t="str">
        <f>CCA!F18</f>
        <v>17/06/22</v>
      </c>
      <c r="I12" s="191"/>
      <c r="J12" s="191"/>
      <c r="K12" s="191"/>
      <c r="L12" s="191"/>
      <c r="M12" s="191"/>
      <c r="N12" s="191"/>
      <c r="O12" s="191"/>
      <c r="P12" s="191"/>
      <c r="Q12" s="191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186" t="s">
        <v>474</v>
      </c>
      <c r="B13" s="187" t="s">
        <v>475</v>
      </c>
      <c r="C13" s="186" t="s">
        <v>0</v>
      </c>
      <c r="D13" s="188" t="s">
        <v>476</v>
      </c>
      <c r="E13" s="189" t="s">
        <v>38</v>
      </c>
      <c r="F13" s="186" t="s">
        <v>39</v>
      </c>
      <c r="G13" s="190" t="str">
        <f>CCA!E19</f>
        <v>Com vencimento</v>
      </c>
      <c r="H13" s="190" t="str">
        <f>CCA!F19</f>
        <v>Com vencimento</v>
      </c>
      <c r="I13" s="191"/>
      <c r="J13" s="191"/>
      <c r="K13" s="191"/>
      <c r="L13" s="191"/>
      <c r="M13" s="191"/>
      <c r="N13" s="191"/>
      <c r="O13" s="191"/>
      <c r="P13" s="191"/>
      <c r="Q13" s="191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186" t="s">
        <v>474</v>
      </c>
      <c r="B14" s="187" t="s">
        <v>475</v>
      </c>
      <c r="C14" s="186" t="s">
        <v>0</v>
      </c>
      <c r="D14" s="188" t="s">
        <v>476</v>
      </c>
      <c r="E14" s="189" t="s">
        <v>42</v>
      </c>
      <c r="F14" s="186" t="s">
        <v>43</v>
      </c>
      <c r="G14" s="190" t="str">
        <f>CCA!E20</f>
        <v>14/06/29</v>
      </c>
      <c r="H14" s="190" t="str">
        <f>CCA!F20</f>
        <v>17/06/32</v>
      </c>
      <c r="I14" s="191"/>
      <c r="J14" s="191"/>
      <c r="K14" s="191"/>
      <c r="L14" s="191"/>
      <c r="M14" s="191"/>
      <c r="N14" s="191"/>
      <c r="O14" s="191"/>
      <c r="P14" s="191"/>
      <c r="Q14" s="191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186" t="s">
        <v>474</v>
      </c>
      <c r="B15" s="187" t="s">
        <v>475</v>
      </c>
      <c r="C15" s="186" t="s">
        <v>0</v>
      </c>
      <c r="D15" s="188" t="s">
        <v>476</v>
      </c>
      <c r="E15" s="189" t="s">
        <v>46</v>
      </c>
      <c r="F15" s="186" t="s">
        <v>47</v>
      </c>
      <c r="G15" s="190" t="str">
        <f>CCA!E21</f>
        <v>Sim</v>
      </c>
      <c r="H15" s="190" t="str">
        <f>CCA!F21</f>
        <v>Sim</v>
      </c>
      <c r="I15" s="191"/>
      <c r="J15" s="191"/>
      <c r="K15" s="191"/>
      <c r="L15" s="191"/>
      <c r="M15" s="191"/>
      <c r="N15" s="191"/>
      <c r="O15" s="191"/>
      <c r="P15" s="191"/>
      <c r="Q15" s="191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186" t="s">
        <v>474</v>
      </c>
      <c r="B16" s="187" t="s">
        <v>475</v>
      </c>
      <c r="C16" s="186" t="s">
        <v>0</v>
      </c>
      <c r="D16" s="188" t="s">
        <v>476</v>
      </c>
      <c r="E16" s="189" t="s">
        <v>49</v>
      </c>
      <c r="F16" s="186" t="s">
        <v>50</v>
      </c>
      <c r="G16" s="190" t="str">
        <f>CCA!E22</f>
        <v>14/06/24</v>
      </c>
      <c r="H16" s="190" t="str">
        <f>CCA!F22</f>
        <v>17/06/27</v>
      </c>
      <c r="I16" s="191"/>
      <c r="J16" s="191"/>
      <c r="K16" s="191"/>
      <c r="L16" s="191"/>
      <c r="M16" s="191"/>
      <c r="N16" s="191"/>
      <c r="O16" s="191"/>
      <c r="P16" s="191"/>
      <c r="Q16" s="191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186" t="s">
        <v>474</v>
      </c>
      <c r="B17" s="187" t="s">
        <v>475</v>
      </c>
      <c r="C17" s="186" t="s">
        <v>0</v>
      </c>
      <c r="D17" s="188" t="s">
        <v>476</v>
      </c>
      <c r="E17" s="189" t="s">
        <v>53</v>
      </c>
      <c r="F17" s="186" t="s">
        <v>54</v>
      </c>
      <c r="G17" s="190" t="str">
        <f>CCA!E23</f>
        <v>Resgate ou recompra pode ocorrer a partir 14/06/2024</v>
      </c>
      <c r="H17" s="190" t="str">
        <f>CCA!F23</f>
        <v>Resgate ou recompra pode ocorrer a partir 17/06/2027</v>
      </c>
      <c r="I17" s="191"/>
      <c r="J17" s="191"/>
      <c r="K17" s="191"/>
      <c r="L17" s="191"/>
      <c r="M17" s="191"/>
      <c r="N17" s="191"/>
      <c r="O17" s="191"/>
      <c r="P17" s="191"/>
      <c r="Q17" s="191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186" t="s">
        <v>474</v>
      </c>
      <c r="B18" s="187" t="s">
        <v>475</v>
      </c>
      <c r="C18" s="186" t="s">
        <v>0</v>
      </c>
      <c r="D18" s="188" t="s">
        <v>58</v>
      </c>
      <c r="E18" s="189" t="s">
        <v>59</v>
      </c>
      <c r="F18" s="186" t="s">
        <v>60</v>
      </c>
      <c r="G18" s="190" t="str">
        <f>CCA!E26</f>
        <v>12,8%</v>
      </c>
      <c r="H18" s="190" t="str">
        <f>CCA!F26</f>
        <v>16,0%</v>
      </c>
      <c r="I18" s="191"/>
      <c r="J18" s="191"/>
      <c r="K18" s="191"/>
      <c r="L18" s="191"/>
      <c r="M18" s="191"/>
      <c r="N18" s="191"/>
      <c r="O18" s="191"/>
      <c r="P18" s="191"/>
      <c r="Q18" s="191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186" t="s">
        <v>474</v>
      </c>
      <c r="B19" s="187" t="s">
        <v>475</v>
      </c>
      <c r="C19" s="186" t="s">
        <v>0</v>
      </c>
      <c r="D19" s="188" t="s">
        <v>58</v>
      </c>
      <c r="E19" s="189" t="s">
        <v>62</v>
      </c>
      <c r="F19" s="186" t="s">
        <v>63</v>
      </c>
      <c r="G19" s="190" t="str">
        <f>CCA!E27</f>
        <v>Não</v>
      </c>
      <c r="H19" s="190" t="str">
        <f>CCA!F27</f>
        <v>Não</v>
      </c>
      <c r="I19" s="191"/>
      <c r="J19" s="191"/>
      <c r="K19" s="191"/>
      <c r="L19" s="191"/>
      <c r="M19" s="191"/>
      <c r="N19" s="191"/>
      <c r="O19" s="191"/>
      <c r="P19" s="191"/>
      <c r="Q19" s="191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186" t="s">
        <v>474</v>
      </c>
      <c r="B20" s="187" t="s">
        <v>475</v>
      </c>
      <c r="C20" s="186" t="s">
        <v>0</v>
      </c>
      <c r="D20" s="188" t="s">
        <v>58</v>
      </c>
      <c r="E20" s="189" t="s">
        <v>67</v>
      </c>
      <c r="F20" s="186" t="s">
        <v>68</v>
      </c>
      <c r="G20" s="190" t="str">
        <f>CCA!E28</f>
        <v>Mandatório</v>
      </c>
      <c r="H20" s="190" t="str">
        <f>CCA!F28</f>
        <v>Mandatório</v>
      </c>
      <c r="I20" s="191"/>
      <c r="J20" s="191"/>
      <c r="K20" s="191"/>
      <c r="L20" s="191"/>
      <c r="M20" s="191"/>
      <c r="N20" s="191"/>
      <c r="O20" s="191"/>
      <c r="P20" s="191"/>
      <c r="Q20" s="191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186" t="s">
        <v>474</v>
      </c>
      <c r="B21" s="187" t="s">
        <v>475</v>
      </c>
      <c r="C21" s="186" t="s">
        <v>0</v>
      </c>
      <c r="D21" s="188" t="s">
        <v>58</v>
      </c>
      <c r="E21" s="189" t="s">
        <v>70</v>
      </c>
      <c r="F21" s="186" t="s">
        <v>71</v>
      </c>
      <c r="G21" s="190" t="str">
        <f>CCA!E29</f>
        <v>Não</v>
      </c>
      <c r="H21" s="190" t="str">
        <f>CCA!F29</f>
        <v>Não</v>
      </c>
      <c r="I21" s="191"/>
      <c r="J21" s="191"/>
      <c r="K21" s="191"/>
      <c r="L21" s="191"/>
      <c r="M21" s="191"/>
      <c r="N21" s="191"/>
      <c r="O21" s="191"/>
      <c r="P21" s="191"/>
      <c r="Q21" s="191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186" t="s">
        <v>474</v>
      </c>
      <c r="B22" s="187" t="s">
        <v>475</v>
      </c>
      <c r="C22" s="186" t="s">
        <v>0</v>
      </c>
      <c r="D22" s="188" t="s">
        <v>58</v>
      </c>
      <c r="E22" s="189" t="s">
        <v>73</v>
      </c>
      <c r="F22" s="186" t="s">
        <v>74</v>
      </c>
      <c r="G22" s="190" t="str">
        <f>CCA!E30</f>
        <v>NA</v>
      </c>
      <c r="H22" s="190" t="str">
        <f>CCA!F30</f>
        <v>NA</v>
      </c>
      <c r="I22" s="191"/>
      <c r="J22" s="191"/>
      <c r="K22" s="191"/>
      <c r="L22" s="191"/>
      <c r="M22" s="191"/>
      <c r="N22" s="191"/>
      <c r="O22" s="191"/>
      <c r="P22" s="191"/>
      <c r="Q22" s="191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186" t="s">
        <v>474</v>
      </c>
      <c r="B23" s="187" t="s">
        <v>475</v>
      </c>
      <c r="C23" s="186" t="s">
        <v>0</v>
      </c>
      <c r="D23" s="188" t="s">
        <v>58</v>
      </c>
      <c r="E23" s="189" t="s">
        <v>75</v>
      </c>
      <c r="F23" s="186" t="s">
        <v>76</v>
      </c>
      <c r="G23" s="190" t="str">
        <f>CCA!E31</f>
        <v>Não conversível</v>
      </c>
      <c r="H23" s="190" t="str">
        <f>CCA!F31</f>
        <v>Não conversível</v>
      </c>
      <c r="I23" s="191"/>
      <c r="J23" s="191"/>
      <c r="K23" s="191"/>
      <c r="L23" s="191"/>
      <c r="M23" s="191"/>
      <c r="N23" s="191"/>
      <c r="O23" s="191"/>
      <c r="P23" s="191"/>
      <c r="Q23" s="191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186" t="s">
        <v>474</v>
      </c>
      <c r="B24" s="187" t="s">
        <v>475</v>
      </c>
      <c r="C24" s="186" t="s">
        <v>0</v>
      </c>
      <c r="D24" s="188" t="s">
        <v>58</v>
      </c>
      <c r="E24" s="189" t="s">
        <v>77</v>
      </c>
      <c r="F24" s="186" t="s">
        <v>78</v>
      </c>
      <c r="G24" s="190" t="str">
        <f>CCA!E32</f>
        <v>NA</v>
      </c>
      <c r="H24" s="190" t="str">
        <f>CCA!F32</f>
        <v>NA</v>
      </c>
      <c r="I24" s="191"/>
      <c r="J24" s="191"/>
      <c r="K24" s="191"/>
      <c r="L24" s="191"/>
      <c r="M24" s="191"/>
      <c r="N24" s="191"/>
      <c r="O24" s="191"/>
      <c r="P24" s="191"/>
      <c r="Q24" s="191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186" t="s">
        <v>474</v>
      </c>
      <c r="B25" s="187" t="s">
        <v>475</v>
      </c>
      <c r="C25" s="186" t="s">
        <v>0</v>
      </c>
      <c r="D25" s="188" t="s">
        <v>58</v>
      </c>
      <c r="E25" s="189" t="s">
        <v>80</v>
      </c>
      <c r="F25" s="186" t="s">
        <v>81</v>
      </c>
      <c r="G25" s="190" t="str">
        <f>CCA!E33</f>
        <v>NA</v>
      </c>
      <c r="H25" s="190" t="str">
        <f>CCA!F33</f>
        <v>NA</v>
      </c>
      <c r="I25" s="191"/>
      <c r="J25" s="191"/>
      <c r="K25" s="191"/>
      <c r="L25" s="191"/>
      <c r="M25" s="191"/>
      <c r="N25" s="191"/>
      <c r="O25" s="191"/>
      <c r="P25" s="191"/>
      <c r="Q25" s="191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186" t="s">
        <v>474</v>
      </c>
      <c r="B26" s="187" t="s">
        <v>475</v>
      </c>
      <c r="C26" s="186" t="s">
        <v>0</v>
      </c>
      <c r="D26" s="188" t="s">
        <v>58</v>
      </c>
      <c r="E26" s="189" t="s">
        <v>82</v>
      </c>
      <c r="F26" s="186" t="s">
        <v>83</v>
      </c>
      <c r="G26" s="190" t="str">
        <f>CCA!E34</f>
        <v>NA</v>
      </c>
      <c r="H26" s="190" t="str">
        <f>CCA!F34</f>
        <v>NA</v>
      </c>
      <c r="I26" s="191"/>
      <c r="J26" s="191"/>
      <c r="K26" s="191"/>
      <c r="L26" s="191"/>
      <c r="M26" s="191"/>
      <c r="N26" s="191"/>
      <c r="O26" s="191"/>
      <c r="P26" s="191"/>
      <c r="Q26" s="191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186" t="s">
        <v>474</v>
      </c>
      <c r="B27" s="187" t="s">
        <v>475</v>
      </c>
      <c r="C27" s="186" t="s">
        <v>0</v>
      </c>
      <c r="D27" s="188" t="s">
        <v>58</v>
      </c>
      <c r="E27" s="189" t="s">
        <v>84</v>
      </c>
      <c r="F27" s="186" t="s">
        <v>85</v>
      </c>
      <c r="G27" s="190" t="str">
        <f>CCA!E35</f>
        <v>NA</v>
      </c>
      <c r="H27" s="190" t="str">
        <f>CCA!F35</f>
        <v>NA</v>
      </c>
      <c r="I27" s="191"/>
      <c r="J27" s="191"/>
      <c r="K27" s="191"/>
      <c r="L27" s="191"/>
      <c r="M27" s="191"/>
      <c r="N27" s="191"/>
      <c r="O27" s="191"/>
      <c r="P27" s="191"/>
      <c r="Q27" s="191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186" t="s">
        <v>474</v>
      </c>
      <c r="B28" s="187" t="s">
        <v>475</v>
      </c>
      <c r="C28" s="186" t="s">
        <v>0</v>
      </c>
      <c r="D28" s="188" t="s">
        <v>58</v>
      </c>
      <c r="E28" s="189" t="s">
        <v>86</v>
      </c>
      <c r="F28" s="186" t="s">
        <v>87</v>
      </c>
      <c r="G28" s="190" t="str">
        <f>CCA!E36</f>
        <v>NA</v>
      </c>
      <c r="H28" s="190" t="str">
        <f>CCA!F36</f>
        <v>NA</v>
      </c>
      <c r="I28" s="191"/>
      <c r="J28" s="191"/>
      <c r="K28" s="191"/>
      <c r="L28" s="191"/>
      <c r="M28" s="191"/>
      <c r="N28" s="191"/>
      <c r="O28" s="191"/>
      <c r="P28" s="191"/>
      <c r="Q28" s="191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186" t="s">
        <v>474</v>
      </c>
      <c r="B29" s="187" t="s">
        <v>475</v>
      </c>
      <c r="C29" s="186" t="s">
        <v>0</v>
      </c>
      <c r="D29" s="188" t="s">
        <v>58</v>
      </c>
      <c r="E29" s="189" t="s">
        <v>88</v>
      </c>
      <c r="F29" s="186" t="s">
        <v>89</v>
      </c>
      <c r="G29" s="190" t="str">
        <f>CCA!E37</f>
        <v>NA</v>
      </c>
      <c r="H29" s="190" t="str">
        <f>CCA!F37</f>
        <v>NA</v>
      </c>
      <c r="I29" s="191"/>
      <c r="J29" s="191"/>
      <c r="K29" s="191"/>
      <c r="L29" s="191"/>
      <c r="M29" s="191"/>
      <c r="N29" s="191"/>
      <c r="O29" s="191"/>
      <c r="P29" s="191"/>
      <c r="Q29" s="191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186" t="s">
        <v>474</v>
      </c>
      <c r="B30" s="187" t="s">
        <v>475</v>
      </c>
      <c r="C30" s="186" t="s">
        <v>0</v>
      </c>
      <c r="D30" s="188" t="s">
        <v>58</v>
      </c>
      <c r="E30" s="189" t="s">
        <v>90</v>
      </c>
      <c r="F30" s="186" t="s">
        <v>91</v>
      </c>
      <c r="G30" s="190" t="str">
        <f>CCA!E38</f>
        <v>Sim</v>
      </c>
      <c r="H30" s="190" t="str">
        <f>CCA!F38</f>
        <v>Sim</v>
      </c>
      <c r="I30" s="191"/>
      <c r="J30" s="191"/>
      <c r="K30" s="191"/>
      <c r="L30" s="191"/>
      <c r="M30" s="191"/>
      <c r="N30" s="191"/>
      <c r="O30" s="191"/>
      <c r="P30" s="191"/>
      <c r="Q30" s="191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186" t="s">
        <v>474</v>
      </c>
      <c r="B31" s="187" t="s">
        <v>475</v>
      </c>
      <c r="C31" s="186" t="s">
        <v>0</v>
      </c>
      <c r="D31" s="188" t="s">
        <v>58</v>
      </c>
      <c r="E31" s="189" t="s">
        <v>92</v>
      </c>
      <c r="F31" s="186" t="s">
        <v>93</v>
      </c>
      <c r="G31" s="190" t="str">
        <f>CCA!E39</f>
        <v>(i) A divulgação pelo Emissor, na forma prevista pelo Banco Central, de que seu Capital Principal, tal como definidos na Resolução CMN 4.192, do Patrimônio de Referência está em patamar inferior a 4,5% do montante RWA (ativos ponderados pelo risco) apurado de acordo com a Resolução do CMN nº 4.193, de 1º de março de 2013;
(ii) A assinatura de compromisso de aporte para o Emissor, de acordo com a exceção prevista no caput do Artigo 28 da Lei Complementar n° 101, de 4 de maio de 2000;
(iii) A decretação, pelo Banco Central, de regime de administração especial temporária ou intervenção nos negócios do Emissor; ou
(iv) A determinação, pelo Banco Central, de extinção das Letras Financeiras da Segunda Série segundo critérios estabelecidos em regulamento específico editado pelo CMN.</v>
      </c>
      <c r="H31" s="190" t="str">
        <f>CCA!F39</f>
        <v>(i) A divulgação pelo Emissor, na forma prevista pelo Banco Central, de que seu Capital Principal, tal como definidos na Resolução CMN 4.955, do Patrimônio de Referência está em patamar inferior a 4,5% do montante RWA (ativos ponderados pelo risco) apurado de acordo com a Resolução do CMN nº 4.193, de 1º de março de 2013;
(ii) A assinatura de compromisso de aporte para o Emissor, de acordo com a exceção prevista no caput do Artigo 28 da Lei Complementar n° 101, de 4 de maio de 2000;
(iii) A decretação, pelo Banco Central, de regime de administração especial temporária ou intervenção nos negócios do Emissor; ou
(iv) A determinação, pelo Banco Central, de extinção das Letras Financeiras da Segunda Série segundo critérios estabelecidos em regulamento específico editado pelo CMN.</v>
      </c>
      <c r="I31" s="191"/>
      <c r="J31" s="191"/>
      <c r="K31" s="191"/>
      <c r="L31" s="191"/>
      <c r="M31" s="191"/>
      <c r="N31" s="191"/>
      <c r="O31" s="191"/>
      <c r="P31" s="191"/>
      <c r="Q31" s="191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86" t="s">
        <v>474</v>
      </c>
      <c r="B32" s="187" t="s">
        <v>475</v>
      </c>
      <c r="C32" s="186" t="s">
        <v>0</v>
      </c>
      <c r="D32" s="188" t="s">
        <v>58</v>
      </c>
      <c r="E32" s="189" t="s">
        <v>94</v>
      </c>
      <c r="F32" s="186" t="s">
        <v>95</v>
      </c>
      <c r="G32" s="190" t="str">
        <f>CCA!E40</f>
        <v>Totalmente</v>
      </c>
      <c r="H32" s="190" t="str">
        <f>CCA!F40</f>
        <v>Totalmente</v>
      </c>
      <c r="I32" s="191"/>
      <c r="J32" s="191"/>
      <c r="K32" s="191"/>
      <c r="L32" s="191"/>
      <c r="M32" s="191"/>
      <c r="N32" s="191"/>
      <c r="O32" s="191"/>
      <c r="P32" s="191"/>
      <c r="Q32" s="191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86" t="s">
        <v>474</v>
      </c>
      <c r="B33" s="187" t="s">
        <v>475</v>
      </c>
      <c r="C33" s="186" t="s">
        <v>0</v>
      </c>
      <c r="D33" s="188" t="s">
        <v>58</v>
      </c>
      <c r="E33" s="189" t="s">
        <v>99</v>
      </c>
      <c r="F33" s="186" t="s">
        <v>100</v>
      </c>
      <c r="G33" s="190" t="str">
        <f>CCA!E41</f>
        <v>Permanente</v>
      </c>
      <c r="H33" s="190" t="str">
        <f>CCA!F41</f>
        <v>Permanente</v>
      </c>
      <c r="I33" s="191"/>
      <c r="J33" s="191"/>
      <c r="K33" s="191"/>
      <c r="L33" s="191"/>
      <c r="M33" s="191"/>
      <c r="N33" s="191"/>
      <c r="O33" s="191"/>
      <c r="P33" s="191"/>
      <c r="Q33" s="191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186" t="s">
        <v>474</v>
      </c>
      <c r="B34" s="187" t="s">
        <v>475</v>
      </c>
      <c r="C34" s="186" t="s">
        <v>0</v>
      </c>
      <c r="D34" s="188" t="s">
        <v>58</v>
      </c>
      <c r="E34" s="189" t="s">
        <v>102</v>
      </c>
      <c r="F34" s="186" t="s">
        <v>103</v>
      </c>
      <c r="G34" s="190" t="str">
        <f>CCA!E42</f>
        <v>Contratual</v>
      </c>
      <c r="H34" s="190" t="str">
        <f>CCA!F42</f>
        <v>Contratual</v>
      </c>
      <c r="I34" s="191"/>
      <c r="J34" s="191"/>
      <c r="K34" s="191"/>
      <c r="L34" s="191"/>
      <c r="M34" s="191"/>
      <c r="N34" s="191"/>
      <c r="O34" s="191"/>
      <c r="P34" s="191"/>
      <c r="Q34" s="191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186" t="s">
        <v>474</v>
      </c>
      <c r="B35" s="187" t="s">
        <v>475</v>
      </c>
      <c r="C35" s="186" t="s">
        <v>0</v>
      </c>
      <c r="D35" s="188" t="s">
        <v>58</v>
      </c>
      <c r="E35" s="186" t="s">
        <v>105</v>
      </c>
      <c r="F35" s="186" t="s">
        <v>106</v>
      </c>
      <c r="G35" s="190" t="str">
        <f>CCA!E43</f>
        <v>Subordinado ao pagamento dos demais passivos do Emissor na hipótese de dissolução do Emissor, com exceção do pagamento de passivos que compõem o “Capital Principal” e o “Capital Complementar”, tal como definidos na Resolução CMN 4.192.</v>
      </c>
      <c r="H35" s="190" t="str">
        <f>CCA!F43</f>
        <v>Subordinado ao pagamento dos demais passivos do Emissor na hipótese de dissolução do Emissor, com exceção do pagamento de passivos que compõem o “Capital Principal” e o “Capital Complementar”, tal como definidos na Resolução CMN 4.955.</v>
      </c>
      <c r="I35" s="191"/>
      <c r="J35" s="191"/>
      <c r="K35" s="191"/>
      <c r="L35" s="191"/>
      <c r="M35" s="191"/>
      <c r="N35" s="191"/>
      <c r="O35" s="191"/>
      <c r="P35" s="191"/>
      <c r="Q35" s="191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186" t="s">
        <v>474</v>
      </c>
      <c r="B36" s="187" t="s">
        <v>475</v>
      </c>
      <c r="C36" s="186" t="s">
        <v>0</v>
      </c>
      <c r="D36" s="188" t="s">
        <v>58</v>
      </c>
      <c r="E36" s="189" t="s">
        <v>108</v>
      </c>
      <c r="F36" s="186" t="s">
        <v>109</v>
      </c>
      <c r="G36" s="190" t="str">
        <f>CCA!E44</f>
        <v>Não</v>
      </c>
      <c r="H36" s="190" t="str">
        <f>CCA!F44</f>
        <v>Não</v>
      </c>
      <c r="I36" s="191"/>
      <c r="J36" s="191"/>
      <c r="K36" s="191"/>
      <c r="L36" s="191"/>
      <c r="M36" s="191"/>
      <c r="N36" s="191"/>
      <c r="O36" s="191"/>
      <c r="P36" s="191"/>
      <c r="Q36" s="191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186" t="s">
        <v>474</v>
      </c>
      <c r="B37" s="187" t="s">
        <v>475</v>
      </c>
      <c r="C37" s="186" t="s">
        <v>0</v>
      </c>
      <c r="D37" s="188" t="s">
        <v>58</v>
      </c>
      <c r="E37" s="189" t="s">
        <v>113</v>
      </c>
      <c r="F37" s="186" t="s">
        <v>114</v>
      </c>
      <c r="G37" s="190" t="str">
        <f>CCA!E45</f>
        <v>NA</v>
      </c>
      <c r="H37" s="190" t="str">
        <f>CCA!F45</f>
        <v>NA</v>
      </c>
      <c r="I37" s="191"/>
      <c r="J37" s="191"/>
      <c r="K37" s="191"/>
      <c r="L37" s="191"/>
      <c r="M37" s="191"/>
      <c r="N37" s="191"/>
      <c r="O37" s="191"/>
      <c r="P37" s="191"/>
      <c r="Q37" s="191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86" t="s">
        <v>474</v>
      </c>
      <c r="B38" s="187" t="s">
        <v>475</v>
      </c>
      <c r="C38" s="186" t="s">
        <v>0</v>
      </c>
      <c r="D38" s="186" t="s">
        <v>58</v>
      </c>
      <c r="E38" s="189" t="s">
        <v>115</v>
      </c>
      <c r="F38" s="186" t="s">
        <v>116</v>
      </c>
      <c r="G38" s="190" t="str">
        <f t="shared" ref="G38:H38" si="1">#REF!</f>
        <v>#REF!</v>
      </c>
      <c r="H38" s="190" t="str">
        <f t="shared" si="1"/>
        <v>#REF!</v>
      </c>
      <c r="I38" s="191"/>
      <c r="J38" s="191"/>
      <c r="K38" s="191"/>
      <c r="L38" s="191"/>
      <c r="M38" s="191"/>
      <c r="N38" s="191"/>
      <c r="O38" s="191"/>
      <c r="P38" s="191"/>
      <c r="Q38" s="191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86" t="s">
        <v>477</v>
      </c>
      <c r="B39" s="187" t="s">
        <v>475</v>
      </c>
      <c r="C39" s="186" t="s">
        <v>478</v>
      </c>
      <c r="D39" s="188" t="s">
        <v>123</v>
      </c>
      <c r="E39" s="189" t="s">
        <v>2</v>
      </c>
      <c r="F39" s="186" t="s">
        <v>124</v>
      </c>
      <c r="G39" s="193">
        <f>'CC1'!E9</f>
        <v>4008404593</v>
      </c>
      <c r="H39" s="193"/>
      <c r="I39" s="191"/>
      <c r="J39" s="191"/>
      <c r="K39" s="191"/>
      <c r="L39" s="191"/>
      <c r="M39" s="191"/>
      <c r="N39" s="191"/>
      <c r="O39" s="191"/>
      <c r="P39" s="191"/>
      <c r="Q39" s="191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186" t="s">
        <v>477</v>
      </c>
      <c r="B40" s="187" t="s">
        <v>475</v>
      </c>
      <c r="C40" s="186" t="s">
        <v>478</v>
      </c>
      <c r="D40" s="188" t="s">
        <v>123</v>
      </c>
      <c r="E40" s="189" t="s">
        <v>5</v>
      </c>
      <c r="F40" s="186" t="s">
        <v>126</v>
      </c>
      <c r="G40" s="193">
        <f>'CC1'!E10</f>
        <v>1406949153</v>
      </c>
      <c r="H40" s="193"/>
      <c r="I40" s="191"/>
      <c r="J40" s="191"/>
      <c r="K40" s="191"/>
      <c r="L40" s="191"/>
      <c r="M40" s="191"/>
      <c r="N40" s="191"/>
      <c r="O40" s="191"/>
      <c r="P40" s="191"/>
      <c r="Q40" s="191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186" t="s">
        <v>477</v>
      </c>
      <c r="B41" s="187" t="s">
        <v>475</v>
      </c>
      <c r="C41" s="186" t="s">
        <v>478</v>
      </c>
      <c r="D41" s="188" t="s">
        <v>123</v>
      </c>
      <c r="E41" s="189" t="s">
        <v>10</v>
      </c>
      <c r="F41" s="186" t="s">
        <v>128</v>
      </c>
      <c r="G41" s="193">
        <f>'CC1'!E11</f>
        <v>87924175.9</v>
      </c>
      <c r="H41" s="193"/>
      <c r="I41" s="191"/>
      <c r="J41" s="191"/>
      <c r="K41" s="191"/>
      <c r="L41" s="191"/>
      <c r="M41" s="191"/>
      <c r="N41" s="191"/>
      <c r="O41" s="191"/>
      <c r="P41" s="191"/>
      <c r="Q41" s="191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186" t="s">
        <v>477</v>
      </c>
      <c r="B42" s="187" t="s">
        <v>475</v>
      </c>
      <c r="C42" s="186" t="s">
        <v>478</v>
      </c>
      <c r="D42" s="188" t="s">
        <v>123</v>
      </c>
      <c r="E42" s="189" t="s">
        <v>16</v>
      </c>
      <c r="F42" s="186" t="s">
        <v>130</v>
      </c>
      <c r="G42" s="193" t="str">
        <f>'CC1'!E12</f>
        <v>-</v>
      </c>
      <c r="H42" s="193"/>
      <c r="I42" s="191"/>
      <c r="J42" s="191"/>
      <c r="K42" s="191"/>
      <c r="L42" s="191"/>
      <c r="M42" s="191"/>
      <c r="N42" s="191"/>
      <c r="O42" s="191"/>
      <c r="P42" s="191"/>
      <c r="Q42" s="191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186" t="s">
        <v>477</v>
      </c>
      <c r="B43" s="187" t="s">
        <v>475</v>
      </c>
      <c r="C43" s="186" t="s">
        <v>478</v>
      </c>
      <c r="D43" s="186" t="s">
        <v>123</v>
      </c>
      <c r="E43" s="189" t="s">
        <v>20</v>
      </c>
      <c r="F43" s="186" t="s">
        <v>132</v>
      </c>
      <c r="G43" s="193">
        <f>'CC1'!E13</f>
        <v>5503277922</v>
      </c>
      <c r="H43" s="193"/>
      <c r="I43" s="191"/>
      <c r="J43" s="191"/>
      <c r="K43" s="191"/>
      <c r="L43" s="191"/>
      <c r="M43" s="191"/>
      <c r="N43" s="191"/>
      <c r="O43" s="191"/>
      <c r="P43" s="191"/>
      <c r="Q43" s="191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186" t="s">
        <v>477</v>
      </c>
      <c r="B44" s="187" t="s">
        <v>475</v>
      </c>
      <c r="C44" s="186" t="s">
        <v>478</v>
      </c>
      <c r="D44" s="188" t="s">
        <v>134</v>
      </c>
      <c r="E44" s="189" t="s">
        <v>23</v>
      </c>
      <c r="F44" s="186" t="s">
        <v>135</v>
      </c>
      <c r="G44" s="193" t="str">
        <f>'CC1'!E15</f>
        <v>-</v>
      </c>
      <c r="H44" s="194"/>
      <c r="I44" s="191"/>
      <c r="J44" s="191"/>
      <c r="K44" s="191"/>
      <c r="L44" s="191"/>
      <c r="M44" s="191"/>
      <c r="N44" s="191"/>
      <c r="O44" s="191"/>
      <c r="P44" s="191"/>
      <c r="Q44" s="191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186" t="s">
        <v>477</v>
      </c>
      <c r="B45" s="187" t="s">
        <v>475</v>
      </c>
      <c r="C45" s="186" t="s">
        <v>478</v>
      </c>
      <c r="D45" s="188" t="s">
        <v>134</v>
      </c>
      <c r="E45" s="189" t="s">
        <v>26</v>
      </c>
      <c r="F45" s="186" t="s">
        <v>136</v>
      </c>
      <c r="G45" s="193">
        <f>'CC1'!E16</f>
        <v>1054082014</v>
      </c>
      <c r="H45" s="194"/>
      <c r="I45" s="191"/>
      <c r="J45" s="191"/>
      <c r="K45" s="191"/>
      <c r="L45" s="191"/>
      <c r="M45" s="191"/>
      <c r="N45" s="191"/>
      <c r="O45" s="191"/>
      <c r="P45" s="191"/>
      <c r="Q45" s="191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186" t="s">
        <v>477</v>
      </c>
      <c r="B46" s="187" t="s">
        <v>475</v>
      </c>
      <c r="C46" s="186" t="s">
        <v>478</v>
      </c>
      <c r="D46" s="188" t="s">
        <v>134</v>
      </c>
      <c r="E46" s="189" t="s">
        <v>28</v>
      </c>
      <c r="F46" s="186" t="s">
        <v>137</v>
      </c>
      <c r="G46" s="193">
        <f>'CC1'!E17</f>
        <v>297501003.7</v>
      </c>
      <c r="H46" s="194"/>
      <c r="I46" s="191"/>
      <c r="J46" s="191"/>
      <c r="K46" s="191"/>
      <c r="L46" s="191"/>
      <c r="M46" s="191"/>
      <c r="N46" s="191"/>
      <c r="O46" s="191"/>
      <c r="P46" s="191"/>
      <c r="Q46" s="191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186" t="s">
        <v>477</v>
      </c>
      <c r="B47" s="187" t="s">
        <v>475</v>
      </c>
      <c r="C47" s="186" t="s">
        <v>478</v>
      </c>
      <c r="D47" s="188" t="s">
        <v>134</v>
      </c>
      <c r="E47" s="189" t="s">
        <v>30</v>
      </c>
      <c r="F47" s="186" t="s">
        <v>138</v>
      </c>
      <c r="G47" s="193">
        <f>'CC1'!E18</f>
        <v>87690034.88</v>
      </c>
      <c r="H47" s="193"/>
      <c r="I47" s="191"/>
      <c r="J47" s="191"/>
      <c r="K47" s="191"/>
      <c r="L47" s="191"/>
      <c r="M47" s="191"/>
      <c r="N47" s="191"/>
      <c r="O47" s="191"/>
      <c r="P47" s="191"/>
      <c r="Q47" s="191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186" t="s">
        <v>477</v>
      </c>
      <c r="B48" s="187" t="s">
        <v>475</v>
      </c>
      <c r="C48" s="186" t="s">
        <v>478</v>
      </c>
      <c r="D48" s="188" t="s">
        <v>134</v>
      </c>
      <c r="E48" s="189" t="s">
        <v>33</v>
      </c>
      <c r="F48" s="186" t="s">
        <v>139</v>
      </c>
      <c r="G48" s="193" t="str">
        <f>'CC1'!E19</f>
        <v>-</v>
      </c>
      <c r="H48" s="193"/>
      <c r="I48" s="191"/>
      <c r="J48" s="191"/>
      <c r="K48" s="191"/>
      <c r="L48" s="191"/>
      <c r="M48" s="191"/>
      <c r="N48" s="191"/>
      <c r="O48" s="191"/>
      <c r="P48" s="191"/>
      <c r="Q48" s="191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186" t="s">
        <v>477</v>
      </c>
      <c r="B49" s="187" t="s">
        <v>475</v>
      </c>
      <c r="C49" s="186" t="s">
        <v>478</v>
      </c>
      <c r="D49" s="188" t="s">
        <v>134</v>
      </c>
      <c r="E49" s="189" t="s">
        <v>49</v>
      </c>
      <c r="F49" s="186" t="s">
        <v>140</v>
      </c>
      <c r="G49" s="193" t="str">
        <f>'CC1'!E20</f>
        <v>-</v>
      </c>
      <c r="H49" s="193"/>
      <c r="I49" s="191"/>
      <c r="J49" s="191"/>
      <c r="K49" s="191"/>
      <c r="L49" s="191"/>
      <c r="M49" s="191"/>
      <c r="N49" s="191"/>
      <c r="O49" s="191"/>
      <c r="P49" s="191"/>
      <c r="Q49" s="191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186" t="s">
        <v>477</v>
      </c>
      <c r="B50" s="187" t="s">
        <v>475</v>
      </c>
      <c r="C50" s="186" t="s">
        <v>478</v>
      </c>
      <c r="D50" s="188" t="s">
        <v>134</v>
      </c>
      <c r="E50" s="189" t="s">
        <v>53</v>
      </c>
      <c r="F50" s="186" t="s">
        <v>141</v>
      </c>
      <c r="G50" s="193" t="str">
        <f>'CC1'!E21</f>
        <v>-</v>
      </c>
      <c r="H50" s="193"/>
      <c r="I50" s="191"/>
      <c r="J50" s="191"/>
      <c r="K50" s="191"/>
      <c r="L50" s="191"/>
      <c r="M50" s="191"/>
      <c r="N50" s="191"/>
      <c r="O50" s="191"/>
      <c r="P50" s="191"/>
      <c r="Q50" s="191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186" t="s">
        <v>477</v>
      </c>
      <c r="B51" s="187" t="s">
        <v>475</v>
      </c>
      <c r="C51" s="186" t="s">
        <v>478</v>
      </c>
      <c r="D51" s="188" t="s">
        <v>134</v>
      </c>
      <c r="E51" s="189" t="s">
        <v>59</v>
      </c>
      <c r="F51" s="186" t="s">
        <v>142</v>
      </c>
      <c r="G51" s="193" t="str">
        <f>'CC1'!E22</f>
        <v>-</v>
      </c>
      <c r="H51" s="193"/>
      <c r="I51" s="191"/>
      <c r="J51" s="191"/>
      <c r="K51" s="191"/>
      <c r="L51" s="191"/>
      <c r="M51" s="191"/>
      <c r="N51" s="191"/>
      <c r="O51" s="191"/>
      <c r="P51" s="191"/>
      <c r="Q51" s="191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186" t="s">
        <v>477</v>
      </c>
      <c r="B52" s="187" t="s">
        <v>475</v>
      </c>
      <c r="C52" s="186" t="s">
        <v>478</v>
      </c>
      <c r="D52" s="188" t="s">
        <v>134</v>
      </c>
      <c r="E52" s="189" t="s">
        <v>62</v>
      </c>
      <c r="F52" s="186" t="s">
        <v>143</v>
      </c>
      <c r="G52" s="193" t="str">
        <f>'CC1'!E23</f>
        <v>-</v>
      </c>
      <c r="H52" s="193"/>
      <c r="I52" s="191"/>
      <c r="J52" s="191"/>
      <c r="K52" s="191"/>
      <c r="L52" s="191"/>
      <c r="M52" s="191"/>
      <c r="N52" s="191"/>
      <c r="O52" s="191"/>
      <c r="P52" s="191"/>
      <c r="Q52" s="191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186" t="s">
        <v>477</v>
      </c>
      <c r="B53" s="187" t="s">
        <v>475</v>
      </c>
      <c r="C53" s="186" t="s">
        <v>478</v>
      </c>
      <c r="D53" s="188" t="s">
        <v>134</v>
      </c>
      <c r="E53" s="189" t="s">
        <v>67</v>
      </c>
      <c r="F53" s="186" t="s">
        <v>144</v>
      </c>
      <c r="G53" s="193" t="str">
        <f>'CC1'!E24</f>
        <v>-</v>
      </c>
      <c r="H53" s="193"/>
      <c r="I53" s="191"/>
      <c r="J53" s="191"/>
      <c r="K53" s="191"/>
      <c r="L53" s="191"/>
      <c r="M53" s="191"/>
      <c r="N53" s="191"/>
      <c r="O53" s="191"/>
      <c r="P53" s="191"/>
      <c r="Q53" s="191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186" t="s">
        <v>477</v>
      </c>
      <c r="B54" s="187" t="s">
        <v>475</v>
      </c>
      <c r="C54" s="186" t="s">
        <v>478</v>
      </c>
      <c r="D54" s="188" t="s">
        <v>134</v>
      </c>
      <c r="E54" s="189" t="s">
        <v>73</v>
      </c>
      <c r="F54" s="186" t="s">
        <v>145</v>
      </c>
      <c r="G54" s="193" t="str">
        <f>'CC1'!E25</f>
        <v>-</v>
      </c>
      <c r="H54" s="193"/>
      <c r="I54" s="191"/>
      <c r="J54" s="191"/>
      <c r="K54" s="191"/>
      <c r="L54" s="191"/>
      <c r="M54" s="191"/>
      <c r="N54" s="191"/>
      <c r="O54" s="191"/>
      <c r="P54" s="191"/>
      <c r="Q54" s="191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186" t="s">
        <v>477</v>
      </c>
      <c r="B55" s="187" t="s">
        <v>475</v>
      </c>
      <c r="C55" s="186" t="s">
        <v>478</v>
      </c>
      <c r="D55" s="188" t="s">
        <v>134</v>
      </c>
      <c r="E55" s="189" t="s">
        <v>75</v>
      </c>
      <c r="F55" s="186" t="s">
        <v>146</v>
      </c>
      <c r="G55" s="193" t="str">
        <f>'CC1'!E26</f>
        <v>-</v>
      </c>
      <c r="H55" s="193"/>
      <c r="I55" s="191"/>
      <c r="J55" s="191"/>
      <c r="K55" s="191"/>
      <c r="L55" s="191"/>
      <c r="M55" s="191"/>
      <c r="N55" s="191"/>
      <c r="O55" s="191"/>
      <c r="P55" s="191"/>
      <c r="Q55" s="191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186" t="s">
        <v>477</v>
      </c>
      <c r="B56" s="187" t="s">
        <v>475</v>
      </c>
      <c r="C56" s="186" t="s">
        <v>478</v>
      </c>
      <c r="D56" s="188" t="s">
        <v>134</v>
      </c>
      <c r="E56" s="189" t="s">
        <v>77</v>
      </c>
      <c r="F56" s="186" t="s">
        <v>147</v>
      </c>
      <c r="G56" s="193" t="str">
        <f>'CC1'!E27</f>
        <v>-</v>
      </c>
      <c r="H56" s="193"/>
      <c r="I56" s="191"/>
      <c r="J56" s="191"/>
      <c r="K56" s="191"/>
      <c r="L56" s="191"/>
      <c r="M56" s="191"/>
      <c r="N56" s="191"/>
      <c r="O56" s="191"/>
      <c r="P56" s="191"/>
      <c r="Q56" s="191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186" t="s">
        <v>477</v>
      </c>
      <c r="B57" s="187" t="s">
        <v>475</v>
      </c>
      <c r="C57" s="186" t="s">
        <v>478</v>
      </c>
      <c r="D57" s="188" t="s">
        <v>134</v>
      </c>
      <c r="E57" s="189" t="s">
        <v>82</v>
      </c>
      <c r="F57" s="186" t="s">
        <v>148</v>
      </c>
      <c r="G57" s="193" t="str">
        <f>'CC1'!E28</f>
        <v>-</v>
      </c>
      <c r="H57" s="193"/>
      <c r="I57" s="191"/>
      <c r="J57" s="191"/>
      <c r="K57" s="191"/>
      <c r="L57" s="191"/>
      <c r="M57" s="191"/>
      <c r="N57" s="191"/>
      <c r="O57" s="191"/>
      <c r="P57" s="191"/>
      <c r="Q57" s="191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186" t="s">
        <v>477</v>
      </c>
      <c r="B58" s="187" t="s">
        <v>475</v>
      </c>
      <c r="C58" s="186" t="s">
        <v>478</v>
      </c>
      <c r="D58" s="188" t="s">
        <v>134</v>
      </c>
      <c r="E58" s="189" t="s">
        <v>84</v>
      </c>
      <c r="F58" s="186" t="s">
        <v>149</v>
      </c>
      <c r="G58" s="193" t="str">
        <f>'CC1'!E29</f>
        <v>-</v>
      </c>
      <c r="H58" s="193"/>
      <c r="I58" s="191"/>
      <c r="J58" s="191"/>
      <c r="K58" s="191"/>
      <c r="L58" s="191"/>
      <c r="M58" s="191"/>
      <c r="N58" s="191"/>
      <c r="O58" s="191"/>
      <c r="P58" s="191"/>
      <c r="Q58" s="191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186" t="s">
        <v>477</v>
      </c>
      <c r="B59" s="187" t="s">
        <v>475</v>
      </c>
      <c r="C59" s="186" t="s">
        <v>478</v>
      </c>
      <c r="D59" s="188" t="s">
        <v>134</v>
      </c>
      <c r="E59" s="186" t="s">
        <v>150</v>
      </c>
      <c r="F59" s="186" t="s">
        <v>151</v>
      </c>
      <c r="G59" s="193" t="str">
        <f>'CC1'!E30</f>
        <v>-</v>
      </c>
      <c r="H59" s="193"/>
      <c r="I59" s="191"/>
      <c r="J59" s="191"/>
      <c r="K59" s="191"/>
      <c r="L59" s="191"/>
      <c r="M59" s="191"/>
      <c r="N59" s="191"/>
      <c r="O59" s="191"/>
      <c r="P59" s="191"/>
      <c r="Q59" s="191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186" t="s">
        <v>477</v>
      </c>
      <c r="B60" s="187" t="s">
        <v>475</v>
      </c>
      <c r="C60" s="186" t="s">
        <v>478</v>
      </c>
      <c r="D60" s="188" t="s">
        <v>134</v>
      </c>
      <c r="E60" s="186" t="s">
        <v>152</v>
      </c>
      <c r="F60" s="186" t="s">
        <v>153</v>
      </c>
      <c r="G60" s="193" t="str">
        <f>'CC1'!E31</f>
        <v>-</v>
      </c>
      <c r="H60" s="193"/>
      <c r="I60" s="191"/>
      <c r="J60" s="191"/>
      <c r="K60" s="191"/>
      <c r="L60" s="191"/>
      <c r="M60" s="191"/>
      <c r="N60" s="191"/>
      <c r="O60" s="191"/>
      <c r="P60" s="191"/>
      <c r="Q60" s="191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186" t="s">
        <v>477</v>
      </c>
      <c r="B61" s="187" t="s">
        <v>475</v>
      </c>
      <c r="C61" s="186" t="s">
        <v>478</v>
      </c>
      <c r="D61" s="188" t="s">
        <v>134</v>
      </c>
      <c r="E61" s="186" t="s">
        <v>154</v>
      </c>
      <c r="F61" s="186" t="s">
        <v>155</v>
      </c>
      <c r="G61" s="193" t="str">
        <f>'CC1'!E32</f>
        <v>-</v>
      </c>
      <c r="H61" s="193"/>
      <c r="I61" s="191"/>
      <c r="J61" s="191"/>
      <c r="K61" s="191"/>
      <c r="L61" s="191"/>
      <c r="M61" s="191"/>
      <c r="N61" s="191"/>
      <c r="O61" s="191"/>
      <c r="P61" s="191"/>
      <c r="Q61" s="191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186" t="s">
        <v>477</v>
      </c>
      <c r="B62" s="187" t="s">
        <v>475</v>
      </c>
      <c r="C62" s="186" t="s">
        <v>478</v>
      </c>
      <c r="D62" s="188" t="s">
        <v>134</v>
      </c>
      <c r="E62" s="186" t="s">
        <v>156</v>
      </c>
      <c r="F62" s="186" t="s">
        <v>157</v>
      </c>
      <c r="G62" s="193" t="str">
        <f>'CC1'!E33</f>
        <v>-</v>
      </c>
      <c r="H62" s="193"/>
      <c r="I62" s="191"/>
      <c r="J62" s="191"/>
      <c r="K62" s="191"/>
      <c r="L62" s="191"/>
      <c r="M62" s="191"/>
      <c r="N62" s="191"/>
      <c r="O62" s="191"/>
      <c r="P62" s="191"/>
      <c r="Q62" s="191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186" t="s">
        <v>477</v>
      </c>
      <c r="B63" s="187" t="s">
        <v>475</v>
      </c>
      <c r="C63" s="186" t="s">
        <v>478</v>
      </c>
      <c r="D63" s="188" t="s">
        <v>134</v>
      </c>
      <c r="E63" s="186" t="s">
        <v>158</v>
      </c>
      <c r="F63" s="186" t="s">
        <v>159</v>
      </c>
      <c r="G63" s="193" t="str">
        <f>'CC1'!E34</f>
        <v>-</v>
      </c>
      <c r="H63" s="193"/>
      <c r="I63" s="191"/>
      <c r="J63" s="191"/>
      <c r="K63" s="191"/>
      <c r="L63" s="191"/>
      <c r="M63" s="191"/>
      <c r="N63" s="191"/>
      <c r="O63" s="191"/>
      <c r="P63" s="191"/>
      <c r="Q63" s="191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186" t="s">
        <v>477</v>
      </c>
      <c r="B64" s="187" t="s">
        <v>475</v>
      </c>
      <c r="C64" s="186" t="s">
        <v>478</v>
      </c>
      <c r="D64" s="188" t="s">
        <v>134</v>
      </c>
      <c r="E64" s="186" t="s">
        <v>160</v>
      </c>
      <c r="F64" s="186" t="s">
        <v>161</v>
      </c>
      <c r="G64" s="193" t="str">
        <f>'CC1'!E35</f>
        <v>-</v>
      </c>
      <c r="H64" s="193"/>
      <c r="I64" s="191"/>
      <c r="J64" s="191"/>
      <c r="K64" s="191"/>
      <c r="L64" s="191"/>
      <c r="M64" s="191"/>
      <c r="N64" s="191"/>
      <c r="O64" s="191"/>
      <c r="P64" s="191"/>
      <c r="Q64" s="191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186" t="s">
        <v>477</v>
      </c>
      <c r="B65" s="187" t="s">
        <v>475</v>
      </c>
      <c r="C65" s="186" t="s">
        <v>478</v>
      </c>
      <c r="D65" s="188" t="s">
        <v>134</v>
      </c>
      <c r="E65" s="186" t="s">
        <v>162</v>
      </c>
      <c r="F65" s="186" t="s">
        <v>163</v>
      </c>
      <c r="G65" s="193" t="str">
        <f>'CC1'!E36</f>
        <v>-</v>
      </c>
      <c r="H65" s="193"/>
      <c r="I65" s="191"/>
      <c r="J65" s="191"/>
      <c r="K65" s="191"/>
      <c r="L65" s="191"/>
      <c r="M65" s="191"/>
      <c r="N65" s="191"/>
      <c r="O65" s="191"/>
      <c r="P65" s="191"/>
      <c r="Q65" s="191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186" t="s">
        <v>477</v>
      </c>
      <c r="B66" s="187" t="s">
        <v>475</v>
      </c>
      <c r="C66" s="186" t="s">
        <v>478</v>
      </c>
      <c r="D66" s="188" t="s">
        <v>134</v>
      </c>
      <c r="E66" s="186" t="s">
        <v>164</v>
      </c>
      <c r="F66" s="186" t="s">
        <v>165</v>
      </c>
      <c r="G66" s="193" t="str">
        <f>'CC1'!E37</f>
        <v>-</v>
      </c>
      <c r="H66" s="193"/>
      <c r="I66" s="191"/>
      <c r="J66" s="191"/>
      <c r="K66" s="191"/>
      <c r="L66" s="191"/>
      <c r="M66" s="191"/>
      <c r="N66" s="191"/>
      <c r="O66" s="191"/>
      <c r="P66" s="191"/>
      <c r="Q66" s="191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186" t="s">
        <v>477</v>
      </c>
      <c r="B67" s="187" t="s">
        <v>475</v>
      </c>
      <c r="C67" s="186" t="s">
        <v>478</v>
      </c>
      <c r="D67" s="188" t="s">
        <v>134</v>
      </c>
      <c r="E67" s="186" t="s">
        <v>166</v>
      </c>
      <c r="F67" s="186" t="s">
        <v>167</v>
      </c>
      <c r="G67" s="193" t="str">
        <f>'CC1'!E38</f>
        <v>-</v>
      </c>
      <c r="H67" s="193"/>
      <c r="I67" s="191"/>
      <c r="J67" s="191"/>
      <c r="K67" s="191"/>
      <c r="L67" s="191"/>
      <c r="M67" s="191"/>
      <c r="N67" s="191"/>
      <c r="O67" s="191"/>
      <c r="P67" s="191"/>
      <c r="Q67" s="191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186" t="s">
        <v>477</v>
      </c>
      <c r="B68" s="187" t="s">
        <v>475</v>
      </c>
      <c r="C68" s="186" t="s">
        <v>478</v>
      </c>
      <c r="D68" s="188" t="s">
        <v>134</v>
      </c>
      <c r="E68" s="189" t="s">
        <v>86</v>
      </c>
      <c r="F68" s="186" t="s">
        <v>168</v>
      </c>
      <c r="G68" s="193" t="str">
        <f>'CC1'!E39</f>
        <v>-</v>
      </c>
      <c r="H68" s="193"/>
      <c r="I68" s="191"/>
      <c r="J68" s="191"/>
      <c r="K68" s="191"/>
      <c r="L68" s="191"/>
      <c r="M68" s="191"/>
      <c r="N68" s="191"/>
      <c r="O68" s="191"/>
      <c r="P68" s="191"/>
      <c r="Q68" s="191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186" t="s">
        <v>477</v>
      </c>
      <c r="B69" s="187" t="s">
        <v>475</v>
      </c>
      <c r="C69" s="186" t="s">
        <v>478</v>
      </c>
      <c r="D69" s="188" t="s">
        <v>134</v>
      </c>
      <c r="E69" s="189" t="s">
        <v>88</v>
      </c>
      <c r="F69" s="186" t="s">
        <v>169</v>
      </c>
      <c r="G69" s="193">
        <f>'CC1'!E40</f>
        <v>1439273053</v>
      </c>
      <c r="H69" s="194"/>
      <c r="I69" s="191"/>
      <c r="J69" s="191"/>
      <c r="K69" s="191"/>
      <c r="L69" s="191"/>
      <c r="M69" s="191"/>
      <c r="N69" s="191"/>
      <c r="O69" s="191"/>
      <c r="P69" s="191"/>
      <c r="Q69" s="191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186" t="s">
        <v>477</v>
      </c>
      <c r="B70" s="187" t="s">
        <v>475</v>
      </c>
      <c r="C70" s="186" t="s">
        <v>478</v>
      </c>
      <c r="D70" s="186" t="s">
        <v>134</v>
      </c>
      <c r="E70" s="189" t="s">
        <v>90</v>
      </c>
      <c r="F70" s="186" t="s">
        <v>170</v>
      </c>
      <c r="G70" s="193">
        <f>'CC1'!E41</f>
        <v>4064004869</v>
      </c>
      <c r="H70" s="194"/>
      <c r="I70" s="191"/>
      <c r="J70" s="191"/>
      <c r="K70" s="191"/>
      <c r="L70" s="191"/>
      <c r="M70" s="191"/>
      <c r="N70" s="191"/>
      <c r="O70" s="191"/>
      <c r="P70" s="191"/>
      <c r="Q70" s="191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186" t="s">
        <v>477</v>
      </c>
      <c r="B71" s="187" t="s">
        <v>475</v>
      </c>
      <c r="C71" s="186" t="s">
        <v>478</v>
      </c>
      <c r="D71" s="188" t="s">
        <v>171</v>
      </c>
      <c r="E71" s="189" t="s">
        <v>92</v>
      </c>
      <c r="F71" s="186" t="s">
        <v>172</v>
      </c>
      <c r="G71" s="193">
        <f>'CC1'!E43</f>
        <v>718886038.2</v>
      </c>
      <c r="H71" s="194"/>
      <c r="I71" s="191"/>
      <c r="J71" s="191"/>
      <c r="K71" s="191"/>
      <c r="L71" s="191"/>
      <c r="M71" s="191"/>
      <c r="N71" s="191"/>
      <c r="O71" s="191"/>
      <c r="P71" s="191"/>
      <c r="Q71" s="191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186" t="s">
        <v>477</v>
      </c>
      <c r="B72" s="187" t="s">
        <v>475</v>
      </c>
      <c r="C72" s="186" t="s">
        <v>478</v>
      </c>
      <c r="D72" s="188" t="s">
        <v>171</v>
      </c>
      <c r="E72" s="189" t="s">
        <v>94</v>
      </c>
      <c r="F72" s="186" t="s">
        <v>173</v>
      </c>
      <c r="G72" s="193" t="str">
        <f>'CC1'!E44</f>
        <v>-</v>
      </c>
      <c r="H72" s="193"/>
      <c r="I72" s="191"/>
      <c r="J72" s="191"/>
      <c r="K72" s="191"/>
      <c r="L72" s="191"/>
      <c r="M72" s="191"/>
      <c r="N72" s="191"/>
      <c r="O72" s="191"/>
      <c r="P72" s="191"/>
      <c r="Q72" s="191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186" t="s">
        <v>477</v>
      </c>
      <c r="B73" s="187" t="s">
        <v>475</v>
      </c>
      <c r="C73" s="186" t="s">
        <v>478</v>
      </c>
      <c r="D73" s="188" t="s">
        <v>171</v>
      </c>
      <c r="E73" s="189" t="s">
        <v>99</v>
      </c>
      <c r="F73" s="186" t="s">
        <v>174</v>
      </c>
      <c r="G73" s="193">
        <f>'CC1'!E45</f>
        <v>718886038.2</v>
      </c>
      <c r="H73" s="193"/>
      <c r="I73" s="191"/>
      <c r="J73" s="191"/>
      <c r="K73" s="191"/>
      <c r="L73" s="191"/>
      <c r="M73" s="191"/>
      <c r="N73" s="191"/>
      <c r="O73" s="191"/>
      <c r="P73" s="191"/>
      <c r="Q73" s="191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186" t="s">
        <v>477</v>
      </c>
      <c r="B74" s="187" t="s">
        <v>475</v>
      </c>
      <c r="C74" s="186" t="s">
        <v>478</v>
      </c>
      <c r="D74" s="188" t="s">
        <v>171</v>
      </c>
      <c r="E74" s="189" t="s">
        <v>102</v>
      </c>
      <c r="F74" s="186" t="s">
        <v>479</v>
      </c>
      <c r="G74" s="193" t="str">
        <f>#REF!</f>
        <v>#REF!</v>
      </c>
      <c r="H74" s="193"/>
      <c r="I74" s="191"/>
      <c r="J74" s="191"/>
      <c r="K74" s="191"/>
      <c r="L74" s="191"/>
      <c r="M74" s="191"/>
      <c r="N74" s="191"/>
      <c r="O74" s="191"/>
      <c r="P74" s="191"/>
      <c r="Q74" s="191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186" t="s">
        <v>477</v>
      </c>
      <c r="B75" s="187" t="s">
        <v>475</v>
      </c>
      <c r="C75" s="186" t="s">
        <v>478</v>
      </c>
      <c r="D75" s="188" t="s">
        <v>171</v>
      </c>
      <c r="E75" s="189" t="s">
        <v>175</v>
      </c>
      <c r="F75" s="186" t="s">
        <v>176</v>
      </c>
      <c r="G75" s="193" t="str">
        <f>'CC1'!E46</f>
        <v>-</v>
      </c>
      <c r="H75" s="193"/>
      <c r="I75" s="191"/>
      <c r="J75" s="191"/>
      <c r="K75" s="191"/>
      <c r="L75" s="191"/>
      <c r="M75" s="191"/>
      <c r="N75" s="191"/>
      <c r="O75" s="191"/>
      <c r="P75" s="191"/>
      <c r="Q75" s="191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186" t="s">
        <v>477</v>
      </c>
      <c r="B76" s="187" t="s">
        <v>475</v>
      </c>
      <c r="C76" s="186" t="s">
        <v>478</v>
      </c>
      <c r="D76" s="188" t="s">
        <v>171</v>
      </c>
      <c r="E76" s="189" t="s">
        <v>108</v>
      </c>
      <c r="F76" s="186" t="s">
        <v>480</v>
      </c>
      <c r="G76" s="193" t="str">
        <f>#REF!</f>
        <v>#REF!</v>
      </c>
      <c r="H76" s="193"/>
      <c r="I76" s="191"/>
      <c r="J76" s="191"/>
      <c r="K76" s="191"/>
      <c r="L76" s="191"/>
      <c r="M76" s="191"/>
      <c r="N76" s="191"/>
      <c r="O76" s="191"/>
      <c r="P76" s="191"/>
      <c r="Q76" s="191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186" t="s">
        <v>477</v>
      </c>
      <c r="B77" s="187" t="s">
        <v>475</v>
      </c>
      <c r="C77" s="186" t="s">
        <v>478</v>
      </c>
      <c r="D77" s="186" t="s">
        <v>171</v>
      </c>
      <c r="E77" s="189" t="s">
        <v>113</v>
      </c>
      <c r="F77" s="186" t="s">
        <v>177</v>
      </c>
      <c r="G77" s="193">
        <f>'CC1'!E47</f>
        <v>718886038.2</v>
      </c>
      <c r="H77" s="194"/>
      <c r="I77" s="191"/>
      <c r="J77" s="191"/>
      <c r="K77" s="191"/>
      <c r="L77" s="191"/>
      <c r="M77" s="191"/>
      <c r="N77" s="191"/>
      <c r="O77" s="191"/>
      <c r="P77" s="191"/>
      <c r="Q77" s="191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186" t="s">
        <v>477</v>
      </c>
      <c r="B78" s="187" t="s">
        <v>475</v>
      </c>
      <c r="C78" s="186" t="s">
        <v>478</v>
      </c>
      <c r="D78" s="188" t="s">
        <v>178</v>
      </c>
      <c r="E78" s="189" t="s">
        <v>115</v>
      </c>
      <c r="F78" s="186" t="s">
        <v>179</v>
      </c>
      <c r="G78" s="193" t="str">
        <f>'CC1'!E49</f>
        <v>-</v>
      </c>
      <c r="H78" s="194"/>
      <c r="I78" s="191"/>
      <c r="J78" s="191"/>
      <c r="K78" s="191"/>
      <c r="L78" s="191"/>
      <c r="M78" s="191"/>
      <c r="N78" s="191"/>
      <c r="O78" s="191"/>
      <c r="P78" s="191"/>
      <c r="Q78" s="191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186" t="s">
        <v>477</v>
      </c>
      <c r="B79" s="187" t="s">
        <v>475</v>
      </c>
      <c r="C79" s="186" t="s">
        <v>478</v>
      </c>
      <c r="D79" s="188" t="s">
        <v>178</v>
      </c>
      <c r="E79" s="189" t="s">
        <v>180</v>
      </c>
      <c r="F79" s="186" t="s">
        <v>181</v>
      </c>
      <c r="G79" s="193" t="str">
        <f>'CC1'!E50</f>
        <v>-</v>
      </c>
      <c r="H79" s="193"/>
      <c r="I79" s="191"/>
      <c r="J79" s="191"/>
      <c r="K79" s="191"/>
      <c r="L79" s="191"/>
      <c r="M79" s="191"/>
      <c r="N79" s="191"/>
      <c r="O79" s="191"/>
      <c r="P79" s="191"/>
      <c r="Q79" s="191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186" t="s">
        <v>477</v>
      </c>
      <c r="B80" s="187" t="s">
        <v>475</v>
      </c>
      <c r="C80" s="186" t="s">
        <v>478</v>
      </c>
      <c r="D80" s="188" t="s">
        <v>178</v>
      </c>
      <c r="E80" s="189" t="s">
        <v>182</v>
      </c>
      <c r="F80" s="186" t="s">
        <v>183</v>
      </c>
      <c r="G80" s="193" t="str">
        <f>'CC1'!E51</f>
        <v>-</v>
      </c>
      <c r="H80" s="193"/>
      <c r="I80" s="191"/>
      <c r="J80" s="191"/>
      <c r="K80" s="191"/>
      <c r="L80" s="191"/>
      <c r="M80" s="191"/>
      <c r="N80" s="191"/>
      <c r="O80" s="191"/>
      <c r="P80" s="191"/>
      <c r="Q80" s="191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186" t="s">
        <v>477</v>
      </c>
      <c r="B81" s="187" t="s">
        <v>475</v>
      </c>
      <c r="C81" s="186" t="s">
        <v>478</v>
      </c>
      <c r="D81" s="188" t="s">
        <v>178</v>
      </c>
      <c r="E81" s="189" t="s">
        <v>184</v>
      </c>
      <c r="F81" s="186" t="s">
        <v>185</v>
      </c>
      <c r="G81" s="193" t="str">
        <f>'CC1'!E52</f>
        <v>-</v>
      </c>
      <c r="H81" s="193"/>
      <c r="I81" s="191"/>
      <c r="J81" s="191"/>
      <c r="K81" s="191"/>
      <c r="L81" s="191"/>
      <c r="M81" s="191"/>
      <c r="N81" s="191"/>
      <c r="O81" s="191"/>
      <c r="P81" s="191"/>
      <c r="Q81" s="191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186" t="s">
        <v>477</v>
      </c>
      <c r="B82" s="187" t="s">
        <v>475</v>
      </c>
      <c r="C82" s="186" t="s">
        <v>478</v>
      </c>
      <c r="D82" s="188" t="s">
        <v>178</v>
      </c>
      <c r="E82" s="189" t="s">
        <v>186</v>
      </c>
      <c r="F82" s="186" t="s">
        <v>149</v>
      </c>
      <c r="G82" s="193" t="str">
        <f>'CC1'!E53</f>
        <v>-</v>
      </c>
      <c r="H82" s="193"/>
      <c r="I82" s="191"/>
      <c r="J82" s="191"/>
      <c r="K82" s="191"/>
      <c r="L82" s="191"/>
      <c r="M82" s="191"/>
      <c r="N82" s="191"/>
      <c r="O82" s="191"/>
      <c r="P82" s="191"/>
      <c r="Q82" s="191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186" t="s">
        <v>477</v>
      </c>
      <c r="B83" s="187" t="s">
        <v>475</v>
      </c>
      <c r="C83" s="186" t="s">
        <v>478</v>
      </c>
      <c r="D83" s="188" t="s">
        <v>178</v>
      </c>
      <c r="E83" s="186" t="s">
        <v>187</v>
      </c>
      <c r="F83" s="186" t="s">
        <v>188</v>
      </c>
      <c r="G83" s="193" t="str">
        <f>'CC1'!E54</f>
        <v>-</v>
      </c>
      <c r="H83" s="193"/>
      <c r="I83" s="191"/>
      <c r="J83" s="191"/>
      <c r="K83" s="191"/>
      <c r="L83" s="191"/>
      <c r="M83" s="191"/>
      <c r="N83" s="191"/>
      <c r="O83" s="191"/>
      <c r="P83" s="191"/>
      <c r="Q83" s="191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186" t="s">
        <v>477</v>
      </c>
      <c r="B84" s="187" t="s">
        <v>475</v>
      </c>
      <c r="C84" s="186" t="s">
        <v>478</v>
      </c>
      <c r="D84" s="188" t="s">
        <v>178</v>
      </c>
      <c r="E84" s="186" t="s">
        <v>189</v>
      </c>
      <c r="F84" s="186" t="s">
        <v>190</v>
      </c>
      <c r="G84" s="193" t="str">
        <f>'CC1'!E55</f>
        <v>-</v>
      </c>
      <c r="H84" s="193"/>
      <c r="I84" s="191"/>
      <c r="J84" s="191"/>
      <c r="K84" s="191"/>
      <c r="L84" s="191"/>
      <c r="M84" s="191"/>
      <c r="N84" s="191"/>
      <c r="O84" s="191"/>
      <c r="P84" s="191"/>
      <c r="Q84" s="191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186" t="s">
        <v>477</v>
      </c>
      <c r="B85" s="187" t="s">
        <v>475</v>
      </c>
      <c r="C85" s="186" t="s">
        <v>478</v>
      </c>
      <c r="D85" s="188" t="s">
        <v>178</v>
      </c>
      <c r="E85" s="189" t="s">
        <v>191</v>
      </c>
      <c r="F85" s="186" t="s">
        <v>192</v>
      </c>
      <c r="G85" s="193" t="str">
        <f>'CC1'!E56</f>
        <v>-</v>
      </c>
      <c r="H85" s="193"/>
      <c r="I85" s="191"/>
      <c r="J85" s="191"/>
      <c r="K85" s="191"/>
      <c r="L85" s="191"/>
      <c r="M85" s="191"/>
      <c r="N85" s="191"/>
      <c r="O85" s="191"/>
      <c r="P85" s="191"/>
      <c r="Q85" s="191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186" t="s">
        <v>477</v>
      </c>
      <c r="B86" s="187" t="s">
        <v>475</v>
      </c>
      <c r="C86" s="186" t="s">
        <v>478</v>
      </c>
      <c r="D86" s="188" t="s">
        <v>178</v>
      </c>
      <c r="E86" s="189" t="s">
        <v>193</v>
      </c>
      <c r="F86" s="186" t="s">
        <v>194</v>
      </c>
      <c r="G86" s="193" t="str">
        <f>'CC1'!E57</f>
        <v>-</v>
      </c>
      <c r="H86" s="193"/>
      <c r="I86" s="191"/>
      <c r="J86" s="191"/>
      <c r="K86" s="191"/>
      <c r="L86" s="191"/>
      <c r="M86" s="191"/>
      <c r="N86" s="191"/>
      <c r="O86" s="191"/>
      <c r="P86" s="191"/>
      <c r="Q86" s="191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186" t="s">
        <v>477</v>
      </c>
      <c r="B87" s="187" t="s">
        <v>475</v>
      </c>
      <c r="C87" s="186" t="s">
        <v>478</v>
      </c>
      <c r="D87" s="188" t="s">
        <v>178</v>
      </c>
      <c r="E87" s="189" t="s">
        <v>195</v>
      </c>
      <c r="F87" s="186" t="s">
        <v>196</v>
      </c>
      <c r="G87" s="193">
        <f>'CC1'!E58</f>
        <v>718886038.2</v>
      </c>
      <c r="H87" s="193"/>
      <c r="I87" s="191"/>
      <c r="J87" s="191"/>
      <c r="K87" s="191"/>
      <c r="L87" s="191"/>
      <c r="M87" s="191"/>
      <c r="N87" s="191"/>
      <c r="O87" s="191"/>
      <c r="P87" s="191"/>
      <c r="Q87" s="191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186" t="s">
        <v>477</v>
      </c>
      <c r="B88" s="187" t="s">
        <v>475</v>
      </c>
      <c r="C88" s="186" t="s">
        <v>478</v>
      </c>
      <c r="D88" s="186" t="s">
        <v>178</v>
      </c>
      <c r="E88" s="189" t="s">
        <v>197</v>
      </c>
      <c r="F88" s="186" t="s">
        <v>19</v>
      </c>
      <c r="G88" s="193">
        <f>'CC1'!E59</f>
        <v>4782890907</v>
      </c>
      <c r="H88" s="194"/>
      <c r="I88" s="191"/>
      <c r="J88" s="191"/>
      <c r="K88" s="191"/>
      <c r="L88" s="191"/>
      <c r="M88" s="191"/>
      <c r="N88" s="191"/>
      <c r="O88" s="191"/>
      <c r="P88" s="191"/>
      <c r="Q88" s="191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186" t="s">
        <v>477</v>
      </c>
      <c r="B89" s="187" t="s">
        <v>475</v>
      </c>
      <c r="C89" s="186" t="s">
        <v>478</v>
      </c>
      <c r="D89" s="188" t="s">
        <v>198</v>
      </c>
      <c r="E89" s="189" t="s">
        <v>199</v>
      </c>
      <c r="F89" s="186" t="s">
        <v>200</v>
      </c>
      <c r="G89" s="193">
        <f>'CC1'!E61</f>
        <v>981589288.5</v>
      </c>
      <c r="H89" s="194"/>
      <c r="I89" s="191"/>
      <c r="J89" s="191"/>
      <c r="K89" s="191"/>
      <c r="L89" s="191"/>
      <c r="M89" s="191"/>
      <c r="N89" s="191"/>
      <c r="O89" s="191"/>
      <c r="P89" s="191"/>
      <c r="Q89" s="191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186" t="s">
        <v>477</v>
      </c>
      <c r="B90" s="187" t="s">
        <v>475</v>
      </c>
      <c r="C90" s="186" t="s">
        <v>478</v>
      </c>
      <c r="D90" s="188" t="s">
        <v>198</v>
      </c>
      <c r="E90" s="189" t="s">
        <v>481</v>
      </c>
      <c r="F90" s="186" t="s">
        <v>482</v>
      </c>
      <c r="G90" s="193" t="str">
        <f>#REF!</f>
        <v>#REF!</v>
      </c>
      <c r="H90" s="194"/>
      <c r="I90" s="191"/>
      <c r="J90" s="191"/>
      <c r="K90" s="191"/>
      <c r="L90" s="191"/>
      <c r="M90" s="191"/>
      <c r="N90" s="191"/>
      <c r="O90" s="191"/>
      <c r="P90" s="191"/>
      <c r="Q90" s="191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186" t="s">
        <v>477</v>
      </c>
      <c r="B91" s="187" t="s">
        <v>475</v>
      </c>
      <c r="C91" s="186" t="s">
        <v>478</v>
      </c>
      <c r="D91" s="188" t="s">
        <v>198</v>
      </c>
      <c r="E91" s="189" t="s">
        <v>201</v>
      </c>
      <c r="F91" s="186" t="s">
        <v>202</v>
      </c>
      <c r="G91" s="193" t="str">
        <f>'CC1'!E62</f>
        <v>-</v>
      </c>
      <c r="H91" s="194"/>
      <c r="I91" s="191"/>
      <c r="J91" s="191"/>
      <c r="K91" s="191"/>
      <c r="L91" s="191"/>
      <c r="M91" s="191"/>
      <c r="N91" s="191"/>
      <c r="O91" s="191"/>
      <c r="P91" s="191"/>
      <c r="Q91" s="191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186" t="s">
        <v>477</v>
      </c>
      <c r="B92" s="187" t="s">
        <v>475</v>
      </c>
      <c r="C92" s="186" t="s">
        <v>478</v>
      </c>
      <c r="D92" s="188" t="s">
        <v>198</v>
      </c>
      <c r="E92" s="189" t="s">
        <v>483</v>
      </c>
      <c r="F92" s="186" t="s">
        <v>480</v>
      </c>
      <c r="G92" s="193" t="str">
        <f>#REF!</f>
        <v>#REF!</v>
      </c>
      <c r="H92" s="194"/>
      <c r="I92" s="191"/>
      <c r="J92" s="191"/>
      <c r="K92" s="191"/>
      <c r="L92" s="191"/>
      <c r="M92" s="191"/>
      <c r="N92" s="191"/>
      <c r="O92" s="191"/>
      <c r="P92" s="191"/>
      <c r="Q92" s="191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186" t="s">
        <v>477</v>
      </c>
      <c r="B93" s="187" t="s">
        <v>475</v>
      </c>
      <c r="C93" s="186" t="s">
        <v>478</v>
      </c>
      <c r="D93" s="186" t="s">
        <v>198</v>
      </c>
      <c r="E93" s="189" t="s">
        <v>203</v>
      </c>
      <c r="F93" s="186" t="s">
        <v>204</v>
      </c>
      <c r="G93" s="193">
        <f>'CC1'!E63</f>
        <v>981589288.5</v>
      </c>
      <c r="H93" s="194"/>
      <c r="I93" s="191"/>
      <c r="J93" s="191"/>
      <c r="K93" s="191"/>
      <c r="L93" s="191"/>
      <c r="M93" s="191"/>
      <c r="N93" s="191"/>
      <c r="O93" s="191"/>
      <c r="P93" s="191"/>
      <c r="Q93" s="191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186" t="s">
        <v>477</v>
      </c>
      <c r="B94" s="187" t="s">
        <v>475</v>
      </c>
      <c r="C94" s="186" t="s">
        <v>478</v>
      </c>
      <c r="D94" s="188" t="s">
        <v>205</v>
      </c>
      <c r="E94" s="189" t="s">
        <v>206</v>
      </c>
      <c r="F94" s="186" t="s">
        <v>207</v>
      </c>
      <c r="G94" s="193" t="str">
        <f>'CC1'!E65</f>
        <v>-</v>
      </c>
      <c r="H94" s="194"/>
      <c r="I94" s="191"/>
      <c r="J94" s="191"/>
      <c r="K94" s="191"/>
      <c r="L94" s="191"/>
      <c r="M94" s="191"/>
      <c r="N94" s="191"/>
      <c r="O94" s="191"/>
      <c r="P94" s="191"/>
      <c r="Q94" s="191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186" t="s">
        <v>477</v>
      </c>
      <c r="B95" s="187" t="s">
        <v>475</v>
      </c>
      <c r="C95" s="186" t="s">
        <v>478</v>
      </c>
      <c r="D95" s="188" t="s">
        <v>205</v>
      </c>
      <c r="E95" s="189" t="s">
        <v>208</v>
      </c>
      <c r="F95" s="186" t="s">
        <v>209</v>
      </c>
      <c r="G95" s="193" t="str">
        <f>'CC1'!E66</f>
        <v>-</v>
      </c>
      <c r="H95" s="194"/>
      <c r="I95" s="191"/>
      <c r="J95" s="191"/>
      <c r="K95" s="191"/>
      <c r="L95" s="191"/>
      <c r="M95" s="191"/>
      <c r="N95" s="191"/>
      <c r="O95" s="191"/>
      <c r="P95" s="191"/>
      <c r="Q95" s="191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186" t="s">
        <v>477</v>
      </c>
      <c r="B96" s="187" t="s">
        <v>475</v>
      </c>
      <c r="C96" s="186" t="s">
        <v>478</v>
      </c>
      <c r="D96" s="188" t="s">
        <v>205</v>
      </c>
      <c r="E96" s="189" t="s">
        <v>210</v>
      </c>
      <c r="F96" s="186" t="s">
        <v>211</v>
      </c>
      <c r="G96" s="193" t="str">
        <f>'CC1'!E67</f>
        <v>-</v>
      </c>
      <c r="H96" s="194"/>
      <c r="I96" s="191"/>
      <c r="J96" s="191"/>
      <c r="K96" s="191"/>
      <c r="L96" s="191"/>
      <c r="M96" s="191"/>
      <c r="N96" s="191"/>
      <c r="O96" s="191"/>
      <c r="P96" s="191"/>
      <c r="Q96" s="191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186" t="s">
        <v>477</v>
      </c>
      <c r="B97" s="187" t="s">
        <v>475</v>
      </c>
      <c r="C97" s="186" t="s">
        <v>478</v>
      </c>
      <c r="D97" s="188" t="s">
        <v>205</v>
      </c>
      <c r="E97" s="189" t="s">
        <v>212</v>
      </c>
      <c r="F97" s="186" t="s">
        <v>213</v>
      </c>
      <c r="G97" s="193" t="str">
        <f>'CC1'!E68</f>
        <v>-</v>
      </c>
      <c r="H97" s="194"/>
      <c r="I97" s="191"/>
      <c r="J97" s="191"/>
      <c r="K97" s="191"/>
      <c r="L97" s="191"/>
      <c r="M97" s="191"/>
      <c r="N97" s="191"/>
      <c r="O97" s="191"/>
      <c r="P97" s="191"/>
      <c r="Q97" s="191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186" t="s">
        <v>477</v>
      </c>
      <c r="B98" s="187" t="s">
        <v>475</v>
      </c>
      <c r="C98" s="186" t="s">
        <v>478</v>
      </c>
      <c r="D98" s="188" t="s">
        <v>205</v>
      </c>
      <c r="E98" s="189" t="s">
        <v>214</v>
      </c>
      <c r="F98" s="186" t="s">
        <v>149</v>
      </c>
      <c r="G98" s="193" t="str">
        <f>'CC1'!E69</f>
        <v>-</v>
      </c>
      <c r="H98" s="194"/>
      <c r="I98" s="191"/>
      <c r="J98" s="191"/>
      <c r="K98" s="191"/>
      <c r="L98" s="191"/>
      <c r="M98" s="191"/>
      <c r="N98" s="191"/>
      <c r="O98" s="191"/>
      <c r="P98" s="191"/>
      <c r="Q98" s="191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186" t="s">
        <v>477</v>
      </c>
      <c r="B99" s="187" t="s">
        <v>475</v>
      </c>
      <c r="C99" s="186" t="s">
        <v>478</v>
      </c>
      <c r="D99" s="188" t="s">
        <v>205</v>
      </c>
      <c r="E99" s="186" t="s">
        <v>215</v>
      </c>
      <c r="F99" s="186" t="s">
        <v>216</v>
      </c>
      <c r="G99" s="193" t="str">
        <f>'CC1'!E70</f>
        <v>-</v>
      </c>
      <c r="H99" s="194"/>
      <c r="I99" s="191"/>
      <c r="J99" s="191"/>
      <c r="K99" s="191"/>
      <c r="L99" s="191"/>
      <c r="M99" s="191"/>
      <c r="N99" s="191"/>
      <c r="O99" s="191"/>
      <c r="P99" s="191"/>
      <c r="Q99" s="191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186" t="s">
        <v>477</v>
      </c>
      <c r="B100" s="187" t="s">
        <v>475</v>
      </c>
      <c r="C100" s="186" t="s">
        <v>478</v>
      </c>
      <c r="D100" s="188" t="s">
        <v>205</v>
      </c>
      <c r="E100" s="186" t="s">
        <v>217</v>
      </c>
      <c r="F100" s="186" t="s">
        <v>218</v>
      </c>
      <c r="G100" s="193" t="str">
        <f>'CC1'!E71</f>
        <v>-</v>
      </c>
      <c r="H100" s="194"/>
      <c r="I100" s="191"/>
      <c r="J100" s="191"/>
      <c r="K100" s="191"/>
      <c r="L100" s="191"/>
      <c r="M100" s="191"/>
      <c r="N100" s="191"/>
      <c r="O100" s="191"/>
      <c r="P100" s="191"/>
      <c r="Q100" s="191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186" t="s">
        <v>477</v>
      </c>
      <c r="B101" s="187" t="s">
        <v>475</v>
      </c>
      <c r="C101" s="186" t="s">
        <v>478</v>
      </c>
      <c r="D101" s="188" t="s">
        <v>205</v>
      </c>
      <c r="E101" s="189" t="s">
        <v>219</v>
      </c>
      <c r="F101" s="186" t="s">
        <v>220</v>
      </c>
      <c r="G101" s="193" t="str">
        <f>'CC1'!E72</f>
        <v>-</v>
      </c>
      <c r="H101" s="194"/>
      <c r="I101" s="191"/>
      <c r="J101" s="191"/>
      <c r="K101" s="191"/>
      <c r="L101" s="191"/>
      <c r="M101" s="191"/>
      <c r="N101" s="191"/>
      <c r="O101" s="191"/>
      <c r="P101" s="191"/>
      <c r="Q101" s="191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186" t="s">
        <v>477</v>
      </c>
      <c r="B102" s="187" t="s">
        <v>475</v>
      </c>
      <c r="C102" s="186" t="s">
        <v>478</v>
      </c>
      <c r="D102" s="188" t="s">
        <v>205</v>
      </c>
      <c r="E102" s="189" t="s">
        <v>221</v>
      </c>
      <c r="F102" s="186" t="s">
        <v>18</v>
      </c>
      <c r="G102" s="193">
        <f>'CC1'!E73</f>
        <v>981589288.5</v>
      </c>
      <c r="H102" s="194"/>
      <c r="I102" s="191"/>
      <c r="J102" s="191"/>
      <c r="K102" s="191"/>
      <c r="L102" s="191"/>
      <c r="M102" s="191"/>
      <c r="N102" s="191"/>
      <c r="O102" s="191"/>
      <c r="P102" s="191"/>
      <c r="Q102" s="191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186" t="s">
        <v>477</v>
      </c>
      <c r="B103" s="187" t="s">
        <v>475</v>
      </c>
      <c r="C103" s="186" t="s">
        <v>478</v>
      </c>
      <c r="D103" s="188" t="s">
        <v>205</v>
      </c>
      <c r="E103" s="189" t="s">
        <v>222</v>
      </c>
      <c r="F103" s="186" t="s">
        <v>223</v>
      </c>
      <c r="G103" s="193">
        <f>'CC1'!E74</f>
        <v>5764480196</v>
      </c>
      <c r="H103" s="194"/>
      <c r="I103" s="191"/>
      <c r="J103" s="191"/>
      <c r="K103" s="191"/>
      <c r="L103" s="191"/>
      <c r="M103" s="191"/>
      <c r="N103" s="191"/>
      <c r="O103" s="191"/>
      <c r="P103" s="191"/>
      <c r="Q103" s="191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186" t="s">
        <v>477</v>
      </c>
      <c r="B104" s="187" t="s">
        <v>475</v>
      </c>
      <c r="C104" s="186" t="s">
        <v>478</v>
      </c>
      <c r="D104" s="186" t="s">
        <v>205</v>
      </c>
      <c r="E104" s="189" t="s">
        <v>224</v>
      </c>
      <c r="F104" s="186" t="s">
        <v>225</v>
      </c>
      <c r="G104" s="193">
        <f>'CC1'!E75</f>
        <v>26963627263</v>
      </c>
      <c r="H104" s="194"/>
      <c r="I104" s="191"/>
      <c r="J104" s="191"/>
      <c r="K104" s="191"/>
      <c r="L104" s="191"/>
      <c r="M104" s="191"/>
      <c r="N104" s="191"/>
      <c r="O104" s="191"/>
      <c r="P104" s="191"/>
      <c r="Q104" s="191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186" t="s">
        <v>477</v>
      </c>
      <c r="B105" s="187" t="s">
        <v>475</v>
      </c>
      <c r="C105" s="186" t="s">
        <v>478</v>
      </c>
      <c r="D105" s="188" t="s">
        <v>226</v>
      </c>
      <c r="E105" s="189" t="s">
        <v>227</v>
      </c>
      <c r="F105" s="186" t="s">
        <v>228</v>
      </c>
      <c r="G105" s="195">
        <f>'CC1'!E77</f>
        <v>0.1507</v>
      </c>
      <c r="H105" s="188"/>
      <c r="I105" s="191"/>
      <c r="J105" s="191"/>
      <c r="K105" s="191"/>
      <c r="L105" s="191"/>
      <c r="M105" s="191"/>
      <c r="N105" s="191"/>
      <c r="O105" s="191"/>
      <c r="P105" s="191"/>
      <c r="Q105" s="191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186" t="s">
        <v>477</v>
      </c>
      <c r="B106" s="187" t="s">
        <v>475</v>
      </c>
      <c r="C106" s="186" t="s">
        <v>478</v>
      </c>
      <c r="D106" s="188" t="s">
        <v>226</v>
      </c>
      <c r="E106" s="189" t="s">
        <v>229</v>
      </c>
      <c r="F106" s="186" t="s">
        <v>230</v>
      </c>
      <c r="G106" s="195">
        <f>'CC1'!E78</f>
        <v>0.1774</v>
      </c>
      <c r="H106" s="188"/>
      <c r="I106" s="191"/>
      <c r="J106" s="191"/>
      <c r="K106" s="191"/>
      <c r="L106" s="191"/>
      <c r="M106" s="191"/>
      <c r="N106" s="191"/>
      <c r="O106" s="191"/>
      <c r="P106" s="191"/>
      <c r="Q106" s="191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186" t="s">
        <v>477</v>
      </c>
      <c r="B107" s="187" t="s">
        <v>475</v>
      </c>
      <c r="C107" s="186" t="s">
        <v>478</v>
      </c>
      <c r="D107" s="188" t="s">
        <v>226</v>
      </c>
      <c r="E107" s="189" t="s">
        <v>231</v>
      </c>
      <c r="F107" s="186" t="s">
        <v>232</v>
      </c>
      <c r="G107" s="195">
        <f>'CC1'!E79</f>
        <v>0.2138</v>
      </c>
      <c r="H107" s="188"/>
      <c r="I107" s="191"/>
      <c r="J107" s="191"/>
      <c r="K107" s="191"/>
      <c r="L107" s="191"/>
      <c r="M107" s="191"/>
      <c r="N107" s="191"/>
      <c r="O107" s="191"/>
      <c r="P107" s="191"/>
      <c r="Q107" s="191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186" t="s">
        <v>477</v>
      </c>
      <c r="B108" s="187" t="s">
        <v>475</v>
      </c>
      <c r="C108" s="186" t="s">
        <v>478</v>
      </c>
      <c r="D108" s="188" t="s">
        <v>226</v>
      </c>
      <c r="E108" s="189" t="s">
        <v>233</v>
      </c>
      <c r="F108" s="186" t="s">
        <v>234</v>
      </c>
      <c r="G108" s="195">
        <f>'CC1'!E80</f>
        <v>0.025</v>
      </c>
      <c r="H108" s="188"/>
      <c r="I108" s="191"/>
      <c r="J108" s="191"/>
      <c r="K108" s="191"/>
      <c r="L108" s="191"/>
      <c r="M108" s="191"/>
      <c r="N108" s="191"/>
      <c r="O108" s="191"/>
      <c r="P108" s="191"/>
      <c r="Q108" s="191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186" t="s">
        <v>477</v>
      </c>
      <c r="B109" s="187" t="s">
        <v>475</v>
      </c>
      <c r="C109" s="186" t="s">
        <v>478</v>
      </c>
      <c r="D109" s="188" t="s">
        <v>226</v>
      </c>
      <c r="E109" s="189" t="s">
        <v>235</v>
      </c>
      <c r="F109" s="186" t="s">
        <v>236</v>
      </c>
      <c r="G109" s="195">
        <f>'CC1'!E81</f>
        <v>0.025</v>
      </c>
      <c r="H109" s="188"/>
      <c r="I109" s="191"/>
      <c r="J109" s="191"/>
      <c r="K109" s="191"/>
      <c r="L109" s="191"/>
      <c r="M109" s="191"/>
      <c r="N109" s="191"/>
      <c r="O109" s="191"/>
      <c r="P109" s="191"/>
      <c r="Q109" s="191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186" t="s">
        <v>477</v>
      </c>
      <c r="B110" s="187" t="s">
        <v>475</v>
      </c>
      <c r="C110" s="186" t="s">
        <v>478</v>
      </c>
      <c r="D110" s="188" t="s">
        <v>226</v>
      </c>
      <c r="E110" s="189" t="s">
        <v>237</v>
      </c>
      <c r="F110" s="186" t="s">
        <v>238</v>
      </c>
      <c r="G110" s="195">
        <f>'CC1'!E82</f>
        <v>0</v>
      </c>
      <c r="H110" s="188"/>
      <c r="I110" s="191"/>
      <c r="J110" s="191"/>
      <c r="K110" s="191"/>
      <c r="L110" s="191"/>
      <c r="M110" s="191"/>
      <c r="N110" s="191"/>
      <c r="O110" s="191"/>
      <c r="P110" s="191"/>
      <c r="Q110" s="191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186" t="s">
        <v>477</v>
      </c>
      <c r="B111" s="187" t="s">
        <v>475</v>
      </c>
      <c r="C111" s="186" t="s">
        <v>478</v>
      </c>
      <c r="D111" s="188" t="s">
        <v>226</v>
      </c>
      <c r="E111" s="189" t="s">
        <v>239</v>
      </c>
      <c r="F111" s="186" t="s">
        <v>240</v>
      </c>
      <c r="G111" s="195">
        <f>'CC1'!E83</f>
        <v>0</v>
      </c>
      <c r="H111" s="188"/>
      <c r="I111" s="191"/>
      <c r="J111" s="191"/>
      <c r="K111" s="191"/>
      <c r="L111" s="191"/>
      <c r="M111" s="191"/>
      <c r="N111" s="191"/>
      <c r="O111" s="191"/>
      <c r="P111" s="191"/>
      <c r="Q111" s="191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186" t="s">
        <v>477</v>
      </c>
      <c r="B112" s="187" t="s">
        <v>475</v>
      </c>
      <c r="C112" s="186" t="s">
        <v>478</v>
      </c>
      <c r="D112" s="186" t="s">
        <v>226</v>
      </c>
      <c r="E112" s="189" t="s">
        <v>241</v>
      </c>
      <c r="F112" s="186" t="s">
        <v>242</v>
      </c>
      <c r="G112" s="195">
        <f>'CC1'!E84</f>
        <v>0.0807</v>
      </c>
      <c r="H112" s="188"/>
      <c r="I112" s="191"/>
      <c r="J112" s="191"/>
      <c r="K112" s="191"/>
      <c r="L112" s="191"/>
      <c r="M112" s="191"/>
      <c r="N112" s="191"/>
      <c r="O112" s="191"/>
      <c r="P112" s="191"/>
      <c r="Q112" s="191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186" t="s">
        <v>477</v>
      </c>
      <c r="B113" s="187" t="s">
        <v>475</v>
      </c>
      <c r="C113" s="186" t="s">
        <v>478</v>
      </c>
      <c r="D113" s="188" t="s">
        <v>243</v>
      </c>
      <c r="E113" s="189" t="s">
        <v>244</v>
      </c>
      <c r="F113" s="186" t="s">
        <v>245</v>
      </c>
      <c r="G113" s="193" t="str">
        <f>'CC1'!E86</f>
        <v>-</v>
      </c>
      <c r="H113" s="194"/>
      <c r="I113" s="191"/>
      <c r="J113" s="191"/>
      <c r="K113" s="191"/>
      <c r="L113" s="191"/>
      <c r="M113" s="191"/>
      <c r="N113" s="191"/>
      <c r="O113" s="191"/>
      <c r="P113" s="191"/>
      <c r="Q113" s="191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186" t="s">
        <v>477</v>
      </c>
      <c r="B114" s="187" t="s">
        <v>475</v>
      </c>
      <c r="C114" s="186" t="s">
        <v>478</v>
      </c>
      <c r="D114" s="188" t="s">
        <v>243</v>
      </c>
      <c r="E114" s="189" t="s">
        <v>246</v>
      </c>
      <c r="F114" s="186" t="s">
        <v>247</v>
      </c>
      <c r="G114" s="193" t="str">
        <f>'CC1'!E87</f>
        <v>-</v>
      </c>
      <c r="H114" s="194"/>
      <c r="I114" s="191"/>
      <c r="J114" s="191"/>
      <c r="K114" s="191"/>
      <c r="L114" s="191"/>
      <c r="M114" s="191"/>
      <c r="N114" s="191"/>
      <c r="O114" s="191"/>
      <c r="P114" s="191"/>
      <c r="Q114" s="191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186" t="s">
        <v>477</v>
      </c>
      <c r="B115" s="187" t="s">
        <v>475</v>
      </c>
      <c r="C115" s="186" t="s">
        <v>478</v>
      </c>
      <c r="D115" s="186" t="s">
        <v>243</v>
      </c>
      <c r="E115" s="189" t="s">
        <v>248</v>
      </c>
      <c r="F115" s="186" t="s">
        <v>249</v>
      </c>
      <c r="G115" s="193">
        <f>'CC1'!E88</f>
        <v>172767712</v>
      </c>
      <c r="H115" s="194"/>
      <c r="I115" s="191"/>
      <c r="J115" s="191"/>
      <c r="K115" s="191"/>
      <c r="L115" s="191"/>
      <c r="M115" s="191"/>
      <c r="N115" s="191"/>
      <c r="O115" s="191"/>
      <c r="P115" s="191"/>
      <c r="Q115" s="191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186" t="s">
        <v>477</v>
      </c>
      <c r="B116" s="187" t="s">
        <v>475</v>
      </c>
      <c r="C116" s="186" t="s">
        <v>478</v>
      </c>
      <c r="D116" s="188" t="s">
        <v>484</v>
      </c>
      <c r="E116" s="189" t="s">
        <v>485</v>
      </c>
      <c r="F116" s="186" t="s">
        <v>486</v>
      </c>
      <c r="G116" s="193" t="str">
        <f t="shared" ref="G116:G119" si="2">#REF!</f>
        <v>#REF!</v>
      </c>
      <c r="H116" s="193"/>
      <c r="I116" s="191"/>
      <c r="J116" s="191"/>
      <c r="K116" s="191"/>
      <c r="L116" s="191"/>
      <c r="M116" s="191"/>
      <c r="N116" s="191"/>
      <c r="O116" s="191"/>
      <c r="P116" s="191"/>
      <c r="Q116" s="191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186" t="s">
        <v>477</v>
      </c>
      <c r="B117" s="187" t="s">
        <v>475</v>
      </c>
      <c r="C117" s="186" t="s">
        <v>478</v>
      </c>
      <c r="D117" s="188" t="s">
        <v>484</v>
      </c>
      <c r="E117" s="189" t="s">
        <v>487</v>
      </c>
      <c r="F117" s="186" t="s">
        <v>488</v>
      </c>
      <c r="G117" s="193" t="str">
        <f t="shared" si="2"/>
        <v>#REF!</v>
      </c>
      <c r="H117" s="193"/>
      <c r="I117" s="191"/>
      <c r="J117" s="191"/>
      <c r="K117" s="191"/>
      <c r="L117" s="191"/>
      <c r="M117" s="191"/>
      <c r="N117" s="191"/>
      <c r="O117" s="191"/>
      <c r="P117" s="191"/>
      <c r="Q117" s="191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186" t="s">
        <v>477</v>
      </c>
      <c r="B118" s="187" t="s">
        <v>475</v>
      </c>
      <c r="C118" s="186" t="s">
        <v>478</v>
      </c>
      <c r="D118" s="188" t="s">
        <v>484</v>
      </c>
      <c r="E118" s="189" t="s">
        <v>489</v>
      </c>
      <c r="F118" s="186" t="s">
        <v>490</v>
      </c>
      <c r="G118" s="193" t="str">
        <f t="shared" si="2"/>
        <v>#REF!</v>
      </c>
      <c r="H118" s="193"/>
      <c r="I118" s="191"/>
      <c r="J118" s="191"/>
      <c r="K118" s="191"/>
      <c r="L118" s="191"/>
      <c r="M118" s="191"/>
      <c r="N118" s="191"/>
      <c r="O118" s="191"/>
      <c r="P118" s="191"/>
      <c r="Q118" s="191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186" t="s">
        <v>477</v>
      </c>
      <c r="B119" s="187" t="s">
        <v>475</v>
      </c>
      <c r="C119" s="186" t="s">
        <v>478</v>
      </c>
      <c r="D119" s="186" t="s">
        <v>484</v>
      </c>
      <c r="E119" s="189" t="s">
        <v>491</v>
      </c>
      <c r="F119" s="186" t="s">
        <v>492</v>
      </c>
      <c r="G119" s="193" t="str">
        <f t="shared" si="2"/>
        <v>#REF!</v>
      </c>
      <c r="H119" s="194"/>
      <c r="I119" s="191"/>
      <c r="J119" s="191"/>
      <c r="K119" s="191"/>
      <c r="L119" s="191"/>
      <c r="M119" s="191"/>
      <c r="N119" s="191"/>
      <c r="O119" s="191"/>
      <c r="P119" s="191"/>
      <c r="Q119" s="191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196" t="s">
        <v>493</v>
      </c>
      <c r="B120" s="187" t="s">
        <v>475</v>
      </c>
      <c r="C120" s="186" t="s">
        <v>251</v>
      </c>
      <c r="D120" s="188" t="s">
        <v>494</v>
      </c>
      <c r="E120" s="189" t="s">
        <v>2</v>
      </c>
      <c r="F120" s="186" t="s">
        <v>258</v>
      </c>
      <c r="G120" s="193">
        <f>'CC2'!E9</f>
        <v>35752145.68</v>
      </c>
      <c r="H120" s="193">
        <f>'CC2'!F9</f>
        <v>35752145.68</v>
      </c>
      <c r="I120" s="197"/>
      <c r="J120" s="197"/>
      <c r="K120" s="191"/>
      <c r="L120" s="191"/>
      <c r="M120" s="191"/>
      <c r="N120" s="191"/>
      <c r="O120" s="191"/>
      <c r="P120" s="191"/>
      <c r="Q120" s="191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196" t="s">
        <v>493</v>
      </c>
      <c r="B121" s="187" t="s">
        <v>475</v>
      </c>
      <c r="C121" s="198" t="s">
        <v>251</v>
      </c>
      <c r="D121" s="188" t="s">
        <v>494</v>
      </c>
      <c r="E121" s="189" t="s">
        <v>5</v>
      </c>
      <c r="F121" s="186" t="s">
        <v>260</v>
      </c>
      <c r="G121" s="193">
        <f>'CC2'!E11</f>
        <v>72183535464</v>
      </c>
      <c r="H121" s="193">
        <f>'CC2'!F11</f>
        <v>72183535464</v>
      </c>
      <c r="I121" s="197"/>
      <c r="J121" s="197"/>
      <c r="K121" s="191"/>
      <c r="L121" s="191"/>
      <c r="M121" s="191"/>
      <c r="N121" s="191"/>
      <c r="O121" s="191"/>
      <c r="P121" s="191"/>
      <c r="Q121" s="191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196" t="s">
        <v>493</v>
      </c>
      <c r="B122" s="187" t="s">
        <v>475</v>
      </c>
      <c r="C122" s="198" t="s">
        <v>251</v>
      </c>
      <c r="D122" s="188" t="s">
        <v>494</v>
      </c>
      <c r="E122" s="189" t="s">
        <v>10</v>
      </c>
      <c r="F122" s="186" t="s">
        <v>262</v>
      </c>
      <c r="G122" s="199" t="str">
        <f>'CC2'!E13</f>
        <v>-</v>
      </c>
      <c r="H122" s="199" t="str">
        <f>'CC2'!F13</f>
        <v>-</v>
      </c>
      <c r="I122" s="197"/>
      <c r="J122" s="197"/>
      <c r="K122" s="191"/>
      <c r="L122" s="191"/>
      <c r="M122" s="191"/>
      <c r="N122" s="191"/>
      <c r="O122" s="191"/>
      <c r="P122" s="191"/>
      <c r="Q122" s="191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196" t="s">
        <v>493</v>
      </c>
      <c r="B123" s="187" t="s">
        <v>475</v>
      </c>
      <c r="C123" s="198" t="s">
        <v>251</v>
      </c>
      <c r="D123" s="188" t="s">
        <v>494</v>
      </c>
      <c r="E123" s="189" t="s">
        <v>13</v>
      </c>
      <c r="F123" s="186" t="s">
        <v>263</v>
      </c>
      <c r="G123" s="199">
        <f>'CC2'!E14</f>
        <v>-5783866806</v>
      </c>
      <c r="H123" s="199">
        <f>'CC2'!F14</f>
        <v>-5783866806</v>
      </c>
      <c r="I123" s="197"/>
      <c r="J123" s="197"/>
      <c r="K123" s="191"/>
      <c r="L123" s="191"/>
      <c r="M123" s="191"/>
      <c r="N123" s="191"/>
      <c r="O123" s="191"/>
      <c r="P123" s="191"/>
      <c r="Q123" s="191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196" t="s">
        <v>493</v>
      </c>
      <c r="B124" s="187" t="s">
        <v>475</v>
      </c>
      <c r="C124" s="198" t="s">
        <v>251</v>
      </c>
      <c r="D124" s="188" t="s">
        <v>494</v>
      </c>
      <c r="E124" s="189" t="s">
        <v>16</v>
      </c>
      <c r="F124" s="186" t="s">
        <v>495</v>
      </c>
      <c r="G124" s="199">
        <f>'CC2'!E15</f>
        <v>2282926592</v>
      </c>
      <c r="H124" s="199">
        <f>'CC2'!F15</f>
        <v>2282926592</v>
      </c>
      <c r="I124" s="197"/>
      <c r="J124" s="197"/>
      <c r="K124" s="191"/>
      <c r="L124" s="191"/>
      <c r="M124" s="191"/>
      <c r="N124" s="191"/>
      <c r="O124" s="191"/>
      <c r="P124" s="191"/>
      <c r="Q124" s="191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196" t="s">
        <v>493</v>
      </c>
      <c r="B125" s="187" t="s">
        <v>475</v>
      </c>
      <c r="C125" s="198" t="s">
        <v>251</v>
      </c>
      <c r="D125" s="188" t="s">
        <v>494</v>
      </c>
      <c r="E125" s="189" t="s">
        <v>20</v>
      </c>
      <c r="F125" s="186" t="s">
        <v>267</v>
      </c>
      <c r="G125" s="193">
        <f>'CC2'!E18</f>
        <v>106097763.6</v>
      </c>
      <c r="H125" s="193">
        <f>'CC2'!F18</f>
        <v>106097763.6</v>
      </c>
      <c r="I125" s="197"/>
      <c r="J125" s="197"/>
      <c r="K125" s="191"/>
      <c r="L125" s="191"/>
      <c r="M125" s="191"/>
      <c r="N125" s="191"/>
      <c r="O125" s="191"/>
      <c r="P125" s="191"/>
      <c r="Q125" s="191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196" t="s">
        <v>493</v>
      </c>
      <c r="B126" s="187" t="s">
        <v>475</v>
      </c>
      <c r="C126" s="198" t="s">
        <v>251</v>
      </c>
      <c r="D126" s="188" t="s">
        <v>494</v>
      </c>
      <c r="E126" s="189" t="s">
        <v>23</v>
      </c>
      <c r="F126" s="186" t="s">
        <v>271</v>
      </c>
      <c r="G126" s="193">
        <f>'CC2'!E22</f>
        <v>23475656.11</v>
      </c>
      <c r="H126" s="193">
        <f>'CC2'!F22</f>
        <v>23475656.11</v>
      </c>
      <c r="I126" s="197"/>
      <c r="J126" s="197"/>
      <c r="K126" s="191"/>
      <c r="L126" s="191"/>
      <c r="M126" s="191"/>
      <c r="N126" s="191"/>
      <c r="O126" s="191"/>
      <c r="P126" s="191"/>
      <c r="Q126" s="191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196" t="s">
        <v>493</v>
      </c>
      <c r="B127" s="187" t="s">
        <v>475</v>
      </c>
      <c r="C127" s="198" t="s">
        <v>251</v>
      </c>
      <c r="D127" s="188" t="s">
        <v>494</v>
      </c>
      <c r="E127" s="189" t="s">
        <v>26</v>
      </c>
      <c r="F127" s="186" t="s">
        <v>272</v>
      </c>
      <c r="G127" s="193">
        <f>'CC2'!E23</f>
        <v>1756579694</v>
      </c>
      <c r="H127" s="193">
        <f>'CC2'!F23</f>
        <v>1756579694</v>
      </c>
      <c r="I127" s="197"/>
      <c r="J127" s="197"/>
      <c r="K127" s="191"/>
      <c r="L127" s="191"/>
      <c r="M127" s="191"/>
      <c r="N127" s="191"/>
      <c r="O127" s="191"/>
      <c r="P127" s="191"/>
      <c r="Q127" s="191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196" t="s">
        <v>493</v>
      </c>
      <c r="B128" s="187" t="s">
        <v>475</v>
      </c>
      <c r="C128" s="198" t="s">
        <v>251</v>
      </c>
      <c r="D128" s="188" t="s">
        <v>494</v>
      </c>
      <c r="E128" s="189" t="s">
        <v>28</v>
      </c>
      <c r="F128" s="186" t="s">
        <v>273</v>
      </c>
      <c r="G128" s="193">
        <f>'CC2'!E24</f>
        <v>-406404888.5</v>
      </c>
      <c r="H128" s="193">
        <f>'CC2'!F24</f>
        <v>-406404888.5</v>
      </c>
      <c r="I128" s="197"/>
      <c r="J128" s="197"/>
      <c r="K128" s="191"/>
      <c r="L128" s="191"/>
      <c r="M128" s="191"/>
      <c r="N128" s="191"/>
      <c r="O128" s="191"/>
      <c r="P128" s="191"/>
      <c r="Q128" s="191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196" t="s">
        <v>493</v>
      </c>
      <c r="B129" s="187" t="s">
        <v>475</v>
      </c>
      <c r="C129" s="198" t="s">
        <v>251</v>
      </c>
      <c r="D129" s="188" t="s">
        <v>494</v>
      </c>
      <c r="E129" s="189" t="s">
        <v>30</v>
      </c>
      <c r="F129" s="186" t="s">
        <v>274</v>
      </c>
      <c r="G129" s="193" t="str">
        <f>'CC2'!E25</f>
        <v>-</v>
      </c>
      <c r="H129" s="193" t="str">
        <f>'CC2'!F25</f>
        <v>-</v>
      </c>
      <c r="I129" s="197"/>
      <c r="J129" s="197"/>
      <c r="K129" s="191"/>
      <c r="L129" s="191"/>
      <c r="M129" s="191"/>
      <c r="N129" s="191"/>
      <c r="O129" s="191"/>
      <c r="P129" s="191"/>
      <c r="Q129" s="191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196" t="s">
        <v>493</v>
      </c>
      <c r="B130" s="187" t="s">
        <v>475</v>
      </c>
      <c r="C130" s="198" t="s">
        <v>251</v>
      </c>
      <c r="D130" s="186" t="s">
        <v>494</v>
      </c>
      <c r="E130" s="189" t="s">
        <v>33</v>
      </c>
      <c r="F130" s="186" t="s">
        <v>276</v>
      </c>
      <c r="G130" s="193">
        <f>'CC2'!E27</f>
        <v>97618048018</v>
      </c>
      <c r="H130" s="193">
        <f>'CC2'!F27</f>
        <v>97618048018</v>
      </c>
      <c r="I130" s="197"/>
      <c r="J130" s="197"/>
      <c r="K130" s="191"/>
      <c r="L130" s="191"/>
      <c r="M130" s="191"/>
      <c r="N130" s="191"/>
      <c r="O130" s="191"/>
      <c r="P130" s="191"/>
      <c r="Q130" s="191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196" t="s">
        <v>493</v>
      </c>
      <c r="B131" s="187" t="s">
        <v>475</v>
      </c>
      <c r="C131" s="198" t="s">
        <v>251</v>
      </c>
      <c r="D131" s="188" t="s">
        <v>496</v>
      </c>
      <c r="E131" s="189" t="s">
        <v>38</v>
      </c>
      <c r="F131" s="200" t="s">
        <v>278</v>
      </c>
      <c r="G131" s="193">
        <f>'CC2'!E29</f>
        <v>82208984314</v>
      </c>
      <c r="H131" s="193">
        <f>'CC2'!F29</f>
        <v>82208984314</v>
      </c>
      <c r="I131" s="201"/>
      <c r="J131" s="201"/>
      <c r="K131" s="191"/>
      <c r="L131" s="191"/>
      <c r="M131" s="191"/>
      <c r="N131" s="191"/>
      <c r="O131" s="191"/>
      <c r="P131" s="191"/>
      <c r="Q131" s="191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196" t="s">
        <v>493</v>
      </c>
      <c r="B132" s="187" t="s">
        <v>475</v>
      </c>
      <c r="C132" s="198" t="s">
        <v>251</v>
      </c>
      <c r="D132" s="188" t="s">
        <v>496</v>
      </c>
      <c r="E132" s="189" t="s">
        <v>42</v>
      </c>
      <c r="F132" s="200" t="s">
        <v>279</v>
      </c>
      <c r="G132" s="193">
        <f>'CC2'!E30</f>
        <v>607218.56</v>
      </c>
      <c r="H132" s="193">
        <f>'CC2'!F30</f>
        <v>607218.56</v>
      </c>
      <c r="I132" s="201"/>
      <c r="J132" s="201"/>
      <c r="K132" s="191"/>
      <c r="L132" s="191"/>
      <c r="M132" s="191"/>
      <c r="N132" s="191"/>
      <c r="O132" s="191"/>
      <c r="P132" s="191"/>
      <c r="Q132" s="191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196" t="s">
        <v>493</v>
      </c>
      <c r="B133" s="187" t="s">
        <v>475</v>
      </c>
      <c r="C133" s="198" t="s">
        <v>251</v>
      </c>
      <c r="D133" s="188" t="s">
        <v>496</v>
      </c>
      <c r="E133" s="189" t="s">
        <v>46</v>
      </c>
      <c r="F133" s="200" t="s">
        <v>497</v>
      </c>
      <c r="G133" s="193">
        <f>'CC2'!E31</f>
        <v>2527144320</v>
      </c>
      <c r="H133" s="193">
        <f>'CC2'!F31</f>
        <v>2527144320</v>
      </c>
      <c r="I133" s="201"/>
      <c r="J133" s="201"/>
      <c r="K133" s="191"/>
      <c r="L133" s="191"/>
      <c r="M133" s="191"/>
      <c r="N133" s="191"/>
      <c r="O133" s="191"/>
      <c r="P133" s="191"/>
      <c r="Q133" s="191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196" t="s">
        <v>493</v>
      </c>
      <c r="B134" s="187" t="s">
        <v>475</v>
      </c>
      <c r="C134" s="198" t="s">
        <v>251</v>
      </c>
      <c r="D134" s="186" t="s">
        <v>496</v>
      </c>
      <c r="E134" s="189" t="s">
        <v>49</v>
      </c>
      <c r="F134" s="186" t="s">
        <v>283</v>
      </c>
      <c r="G134" s="193">
        <f>'CC2'!E35</f>
        <v>92114770096</v>
      </c>
      <c r="H134" s="193">
        <f>'CC2'!F35</f>
        <v>92114770096</v>
      </c>
      <c r="I134" s="202"/>
      <c r="J134" s="202"/>
      <c r="K134" s="191"/>
      <c r="L134" s="191"/>
      <c r="M134" s="191"/>
      <c r="N134" s="191"/>
      <c r="O134" s="191"/>
      <c r="P134" s="191"/>
      <c r="Q134" s="191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196" t="s">
        <v>493</v>
      </c>
      <c r="B135" s="187" t="s">
        <v>475</v>
      </c>
      <c r="C135" s="198" t="s">
        <v>251</v>
      </c>
      <c r="D135" s="188" t="s">
        <v>284</v>
      </c>
      <c r="E135" s="189" t="s">
        <v>53</v>
      </c>
      <c r="F135" s="186" t="s">
        <v>498</v>
      </c>
      <c r="G135" s="193">
        <f>'CC2'!E37</f>
        <v>4008404593</v>
      </c>
      <c r="H135" s="193">
        <f>'CC2'!F37</f>
        <v>4008404593</v>
      </c>
      <c r="I135" s="197"/>
      <c r="J135" s="191"/>
      <c r="K135" s="191"/>
      <c r="L135" s="191"/>
      <c r="M135" s="191"/>
      <c r="N135" s="191"/>
      <c r="O135" s="191"/>
      <c r="P135" s="191"/>
      <c r="Q135" s="191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196" t="s">
        <v>493</v>
      </c>
      <c r="B136" s="187" t="s">
        <v>475</v>
      </c>
      <c r="C136" s="198" t="s">
        <v>251</v>
      </c>
      <c r="D136" s="188" t="s">
        <v>284</v>
      </c>
      <c r="E136" s="189" t="s">
        <v>59</v>
      </c>
      <c r="F136" s="186" t="s">
        <v>499</v>
      </c>
      <c r="G136" s="193">
        <f>'CC2'!E38</f>
        <v>4008404593</v>
      </c>
      <c r="H136" s="193">
        <f>'CC2'!F38</f>
        <v>4008404593</v>
      </c>
      <c r="I136" s="197"/>
      <c r="J136" s="191"/>
      <c r="K136" s="191"/>
      <c r="L136" s="191"/>
      <c r="M136" s="191"/>
      <c r="N136" s="191"/>
      <c r="O136" s="191"/>
      <c r="P136" s="191"/>
      <c r="Q136" s="191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196" t="s">
        <v>493</v>
      </c>
      <c r="B137" s="187" t="s">
        <v>475</v>
      </c>
      <c r="C137" s="198" t="s">
        <v>251</v>
      </c>
      <c r="D137" s="200" t="s">
        <v>284</v>
      </c>
      <c r="E137" s="189" t="s">
        <v>62</v>
      </c>
      <c r="F137" s="186" t="s">
        <v>500</v>
      </c>
      <c r="G137" s="193" t="str">
        <f>'CC2'!E39</f>
        <v>-</v>
      </c>
      <c r="H137" s="193" t="str">
        <f>'CC2'!F39</f>
        <v>-</v>
      </c>
      <c r="I137" s="197"/>
      <c r="J137" s="191"/>
      <c r="K137" s="191"/>
      <c r="L137" s="191"/>
      <c r="M137" s="191"/>
      <c r="N137" s="191"/>
      <c r="O137" s="191"/>
      <c r="P137" s="191"/>
      <c r="Q137" s="191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196" t="s">
        <v>493</v>
      </c>
      <c r="B138" s="187" t="s">
        <v>475</v>
      </c>
      <c r="C138" s="198" t="s">
        <v>251</v>
      </c>
      <c r="D138" s="200" t="s">
        <v>284</v>
      </c>
      <c r="E138" s="189" t="s">
        <v>67</v>
      </c>
      <c r="F138" s="186" t="s">
        <v>288</v>
      </c>
      <c r="G138" s="193">
        <f>'CC2'!E40</f>
        <v>1406949153</v>
      </c>
      <c r="H138" s="193">
        <f>'CC2'!F40</f>
        <v>1406949153</v>
      </c>
      <c r="I138" s="197"/>
      <c r="J138" s="191"/>
      <c r="K138" s="191"/>
      <c r="L138" s="191"/>
      <c r="M138" s="191"/>
      <c r="N138" s="191"/>
      <c r="O138" s="191"/>
      <c r="P138" s="191"/>
      <c r="Q138" s="191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196" t="s">
        <v>493</v>
      </c>
      <c r="B139" s="187" t="s">
        <v>475</v>
      </c>
      <c r="C139" s="198" t="s">
        <v>251</v>
      </c>
      <c r="D139" s="200" t="s">
        <v>284</v>
      </c>
      <c r="E139" s="189" t="s">
        <v>70</v>
      </c>
      <c r="F139" s="186" t="s">
        <v>289</v>
      </c>
      <c r="G139" s="193">
        <f>'CC2'!E41</f>
        <v>87924175.9</v>
      </c>
      <c r="H139" s="193">
        <f>'CC2'!F41</f>
        <v>87924175.9</v>
      </c>
      <c r="I139" s="197"/>
      <c r="J139" s="191"/>
      <c r="K139" s="191"/>
      <c r="L139" s="191"/>
      <c r="M139" s="191"/>
      <c r="N139" s="191"/>
      <c r="O139" s="191"/>
      <c r="P139" s="191"/>
      <c r="Q139" s="191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196" t="s">
        <v>493</v>
      </c>
      <c r="B140" s="187" t="s">
        <v>475</v>
      </c>
      <c r="C140" s="198" t="s">
        <v>251</v>
      </c>
      <c r="D140" s="200" t="s">
        <v>284</v>
      </c>
      <c r="E140" s="189" t="s">
        <v>73</v>
      </c>
      <c r="F140" s="186" t="s">
        <v>290</v>
      </c>
      <c r="G140" s="193" t="str">
        <f>'CC2'!E42</f>
        <v>-</v>
      </c>
      <c r="H140" s="193" t="str">
        <f>'CC2'!F42</f>
        <v>-</v>
      </c>
      <c r="I140" s="197"/>
      <c r="J140" s="191"/>
      <c r="K140" s="191"/>
      <c r="L140" s="191"/>
      <c r="M140" s="191"/>
      <c r="N140" s="191"/>
      <c r="O140" s="191"/>
      <c r="P140" s="191"/>
      <c r="Q140" s="191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196" t="s">
        <v>493</v>
      </c>
      <c r="B141" s="187" t="s">
        <v>475</v>
      </c>
      <c r="C141" s="198" t="s">
        <v>251</v>
      </c>
      <c r="D141" s="200" t="s">
        <v>284</v>
      </c>
      <c r="E141" s="189" t="s">
        <v>75</v>
      </c>
      <c r="F141" s="186" t="s">
        <v>291</v>
      </c>
      <c r="G141" s="193" t="str">
        <f>'CC2'!E43</f>
        <v>-</v>
      </c>
      <c r="H141" s="193" t="str">
        <f>'CC2'!F43</f>
        <v>-</v>
      </c>
      <c r="I141" s="197"/>
      <c r="J141" s="191"/>
      <c r="K141" s="191"/>
      <c r="L141" s="191"/>
      <c r="M141" s="191"/>
      <c r="N141" s="191"/>
      <c r="O141" s="191"/>
      <c r="P141" s="191"/>
      <c r="Q141" s="191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196" t="s">
        <v>493</v>
      </c>
      <c r="B142" s="187" t="s">
        <v>475</v>
      </c>
      <c r="C142" s="198" t="s">
        <v>251</v>
      </c>
      <c r="D142" s="200" t="s">
        <v>284</v>
      </c>
      <c r="E142" s="189" t="s">
        <v>77</v>
      </c>
      <c r="F142" s="186" t="s">
        <v>292</v>
      </c>
      <c r="G142" s="193">
        <f>'CC2'!E44</f>
        <v>5503277922</v>
      </c>
      <c r="H142" s="193">
        <f>'CC2'!F44</f>
        <v>5503277922</v>
      </c>
      <c r="I142" s="197"/>
      <c r="J142" s="191"/>
      <c r="K142" s="191"/>
      <c r="L142" s="191"/>
      <c r="M142" s="191"/>
      <c r="N142" s="191"/>
      <c r="O142" s="191"/>
      <c r="P142" s="191"/>
      <c r="Q142" s="191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197" t="s">
        <v>501</v>
      </c>
      <c r="B143" s="187" t="s">
        <v>475</v>
      </c>
      <c r="C143" s="203" t="s">
        <v>502</v>
      </c>
      <c r="D143" s="191"/>
      <c r="E143" s="204" t="s">
        <v>331</v>
      </c>
      <c r="F143" s="205" t="s">
        <v>332</v>
      </c>
      <c r="G143" s="206">
        <f>'OV1'!E8</f>
        <v>20903895388</v>
      </c>
      <c r="H143" s="206">
        <f>'OV1'!F8</f>
        <v>18237660004</v>
      </c>
      <c r="I143" s="206">
        <f>'OV1'!G8</f>
        <v>1672311631</v>
      </c>
      <c r="J143" s="191"/>
      <c r="K143" s="191"/>
      <c r="L143" s="191"/>
      <c r="M143" s="191"/>
      <c r="N143" s="191"/>
      <c r="O143" s="191"/>
      <c r="P143" s="191"/>
      <c r="Q143" s="191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197" t="s">
        <v>501</v>
      </c>
      <c r="B144" s="187" t="s">
        <v>475</v>
      </c>
      <c r="C144" s="203" t="s">
        <v>502</v>
      </c>
      <c r="D144" s="191"/>
      <c r="E144" s="204" t="s">
        <v>5</v>
      </c>
      <c r="F144" s="204" t="s">
        <v>333</v>
      </c>
      <c r="G144" s="206">
        <f>'OV1'!E9</f>
        <v>19656675044</v>
      </c>
      <c r="H144" s="206">
        <f>'OV1'!F9</f>
        <v>17068360618</v>
      </c>
      <c r="I144" s="206">
        <f>'OV1'!G9</f>
        <v>1572534003</v>
      </c>
      <c r="J144" s="191"/>
      <c r="K144" s="191"/>
      <c r="L144" s="191"/>
      <c r="M144" s="191"/>
      <c r="N144" s="191"/>
      <c r="O144" s="191"/>
      <c r="P144" s="191"/>
      <c r="Q144" s="191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197" t="s">
        <v>501</v>
      </c>
      <c r="B145" s="187" t="s">
        <v>475</v>
      </c>
      <c r="C145" s="203" t="s">
        <v>502</v>
      </c>
      <c r="D145" s="191"/>
      <c r="E145" s="204" t="s">
        <v>20</v>
      </c>
      <c r="F145" s="204" t="s">
        <v>334</v>
      </c>
      <c r="G145" s="206">
        <f>'OV1'!E10</f>
        <v>4171514.51</v>
      </c>
      <c r="H145" s="206">
        <f>'OV1'!F10</f>
        <v>463631.08</v>
      </c>
      <c r="I145" s="206">
        <f>'OV1'!G10</f>
        <v>333721.16</v>
      </c>
      <c r="J145" s="191"/>
      <c r="K145" s="191"/>
      <c r="L145" s="191"/>
      <c r="M145" s="191"/>
      <c r="N145" s="191"/>
      <c r="O145" s="191"/>
      <c r="P145" s="191"/>
      <c r="Q145" s="191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197" t="s">
        <v>501</v>
      </c>
      <c r="B146" s="187" t="s">
        <v>475</v>
      </c>
      <c r="C146" s="203" t="s">
        <v>502</v>
      </c>
      <c r="D146" s="191"/>
      <c r="E146" s="204" t="s">
        <v>23</v>
      </c>
      <c r="F146" s="204" t="s">
        <v>335</v>
      </c>
      <c r="G146" s="206" t="str">
        <f>'OV1'!E11</f>
        <v>-</v>
      </c>
      <c r="H146" s="206" t="str">
        <f>'OV1'!F11</f>
        <v>-</v>
      </c>
      <c r="I146" s="206" t="str">
        <f>'OV1'!G11</f>
        <v>-</v>
      </c>
      <c r="J146" s="191"/>
      <c r="K146" s="191"/>
      <c r="L146" s="191"/>
      <c r="M146" s="191"/>
      <c r="N146" s="191"/>
      <c r="O146" s="191"/>
      <c r="P146" s="191"/>
      <c r="Q146" s="191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197" t="s">
        <v>501</v>
      </c>
      <c r="B147" s="187" t="s">
        <v>475</v>
      </c>
      <c r="C147" s="203" t="s">
        <v>502</v>
      </c>
      <c r="D147" s="191"/>
      <c r="E147" s="204" t="s">
        <v>336</v>
      </c>
      <c r="F147" s="204" t="s">
        <v>337</v>
      </c>
      <c r="G147" s="206">
        <f>'OV1'!E12</f>
        <v>4171514.51</v>
      </c>
      <c r="H147" s="206">
        <f>'OV1'!F12</f>
        <v>463631.08</v>
      </c>
      <c r="I147" s="206">
        <f>'OV1'!G12</f>
        <v>333721.16</v>
      </c>
      <c r="J147" s="191"/>
      <c r="K147" s="191"/>
      <c r="L147" s="191"/>
      <c r="M147" s="191"/>
      <c r="N147" s="191"/>
      <c r="O147" s="191"/>
      <c r="P147" s="191"/>
      <c r="Q147" s="191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197" t="s">
        <v>501</v>
      </c>
      <c r="B148" s="187" t="s">
        <v>475</v>
      </c>
      <c r="C148" s="203" t="s">
        <v>502</v>
      </c>
      <c r="D148" s="191"/>
      <c r="E148" s="204" t="s">
        <v>28</v>
      </c>
      <c r="F148" s="204" t="s">
        <v>338</v>
      </c>
      <c r="G148" s="206" t="str">
        <f>'OV1'!E13</f>
        <v>-</v>
      </c>
      <c r="H148" s="206" t="str">
        <f>'OV1'!F13</f>
        <v>-</v>
      </c>
      <c r="I148" s="206" t="str">
        <f>'OV1'!G13</f>
        <v>-</v>
      </c>
      <c r="J148" s="191"/>
      <c r="K148" s="191"/>
      <c r="L148" s="191"/>
      <c r="M148" s="191"/>
      <c r="N148" s="191"/>
      <c r="O148" s="191"/>
      <c r="P148" s="191"/>
      <c r="Q148" s="191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197" t="s">
        <v>501</v>
      </c>
      <c r="B149" s="187" t="s">
        <v>475</v>
      </c>
      <c r="C149" s="203" t="s">
        <v>502</v>
      </c>
      <c r="D149" s="191"/>
      <c r="E149" s="204" t="s">
        <v>30</v>
      </c>
      <c r="F149" s="204" t="s">
        <v>339</v>
      </c>
      <c r="G149" s="206">
        <f>'OV1'!E14</f>
        <v>658762.35</v>
      </c>
      <c r="H149" s="206">
        <f>'OV1'!F14</f>
        <v>1068953.25</v>
      </c>
      <c r="I149" s="206">
        <f>'OV1'!G14</f>
        <v>52700.99</v>
      </c>
      <c r="J149" s="191"/>
      <c r="K149" s="191"/>
      <c r="L149" s="191"/>
      <c r="M149" s="191"/>
      <c r="N149" s="191"/>
      <c r="O149" s="191"/>
      <c r="P149" s="191"/>
      <c r="Q149" s="191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197" t="s">
        <v>501</v>
      </c>
      <c r="B150" s="187" t="s">
        <v>475</v>
      </c>
      <c r="C150" s="203" t="s">
        <v>502</v>
      </c>
      <c r="D150" s="191"/>
      <c r="E150" s="204" t="s">
        <v>38</v>
      </c>
      <c r="F150" s="207" t="s">
        <v>340</v>
      </c>
      <c r="G150" s="206">
        <f>'OV1'!E15</f>
        <v>169897696</v>
      </c>
      <c r="H150" s="206">
        <f>'OV1'!F15</f>
        <v>90431817</v>
      </c>
      <c r="I150" s="206">
        <f>'OV1'!G15</f>
        <v>13591815.68</v>
      </c>
      <c r="J150" s="191"/>
      <c r="K150" s="191"/>
      <c r="L150" s="191"/>
      <c r="M150" s="191"/>
      <c r="N150" s="191"/>
      <c r="O150" s="191"/>
      <c r="P150" s="191"/>
      <c r="Q150" s="191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197" t="s">
        <v>501</v>
      </c>
      <c r="B151" s="187" t="s">
        <v>475</v>
      </c>
      <c r="C151" s="203" t="s">
        <v>502</v>
      </c>
      <c r="D151" s="191"/>
      <c r="E151" s="204" t="s">
        <v>42</v>
      </c>
      <c r="F151" s="208" t="s">
        <v>341</v>
      </c>
      <c r="G151" s="206">
        <f>'OV1'!E16</f>
        <v>8217582.14</v>
      </c>
      <c r="H151" s="206">
        <f>'OV1'!F16</f>
        <v>6366637</v>
      </c>
      <c r="I151" s="206">
        <f>'OV1'!G16</f>
        <v>657406.57</v>
      </c>
      <c r="J151" s="191"/>
      <c r="K151" s="191"/>
      <c r="L151" s="191"/>
      <c r="M151" s="191"/>
      <c r="N151" s="191"/>
      <c r="O151" s="191"/>
      <c r="P151" s="191"/>
      <c r="Q151" s="191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197" t="s">
        <v>501</v>
      </c>
      <c r="B152" s="187" t="s">
        <v>475</v>
      </c>
      <c r="C152" s="203" t="s">
        <v>502</v>
      </c>
      <c r="D152" s="191"/>
      <c r="E152" s="204" t="s">
        <v>46</v>
      </c>
      <c r="F152" s="204" t="s">
        <v>342</v>
      </c>
      <c r="G152" s="206" t="str">
        <f>'OV1'!E17</f>
        <v>-</v>
      </c>
      <c r="H152" s="206" t="str">
        <f>'OV1'!F17</f>
        <v>-</v>
      </c>
      <c r="I152" s="206" t="str">
        <f>'OV1'!G17</f>
        <v>-</v>
      </c>
      <c r="J152" s="191"/>
      <c r="K152" s="191"/>
      <c r="L152" s="191"/>
      <c r="M152" s="191"/>
      <c r="N152" s="191"/>
      <c r="O152" s="191"/>
      <c r="P152" s="191"/>
      <c r="Q152" s="191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197" t="s">
        <v>501</v>
      </c>
      <c r="B153" s="187" t="s">
        <v>475</v>
      </c>
      <c r="C153" s="203" t="s">
        <v>502</v>
      </c>
      <c r="D153" s="191"/>
      <c r="E153" s="204" t="s">
        <v>53</v>
      </c>
      <c r="F153" s="204" t="s">
        <v>343</v>
      </c>
      <c r="G153" s="206">
        <f>'OV1'!E18</f>
        <v>632355509.7</v>
      </c>
      <c r="H153" s="206">
        <f>'OV1'!F18</f>
        <v>761845212.9</v>
      </c>
      <c r="I153" s="206">
        <f>'OV1'!G18</f>
        <v>50588440.78</v>
      </c>
      <c r="J153" s="191"/>
      <c r="K153" s="191"/>
      <c r="L153" s="191"/>
      <c r="M153" s="191"/>
      <c r="N153" s="191"/>
      <c r="O153" s="191"/>
      <c r="P153" s="191"/>
      <c r="Q153" s="191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197" t="s">
        <v>501</v>
      </c>
      <c r="B154" s="187" t="s">
        <v>475</v>
      </c>
      <c r="C154" s="203" t="s">
        <v>502</v>
      </c>
      <c r="D154" s="191"/>
      <c r="E154" s="204" t="s">
        <v>82</v>
      </c>
      <c r="F154" s="204" t="s">
        <v>344</v>
      </c>
      <c r="G154" s="206">
        <f>'OV1'!E19</f>
        <v>431919280</v>
      </c>
      <c r="H154" s="206">
        <f>'OV1'!F19</f>
        <v>309123134.9</v>
      </c>
      <c r="I154" s="206">
        <f>'OV1'!G19</f>
        <v>34553542.4</v>
      </c>
      <c r="J154" s="191"/>
      <c r="K154" s="191"/>
      <c r="L154" s="191"/>
      <c r="M154" s="191"/>
      <c r="N154" s="191"/>
      <c r="O154" s="191"/>
      <c r="P154" s="191"/>
      <c r="Q154" s="191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197" t="s">
        <v>501</v>
      </c>
      <c r="B155" s="187" t="s">
        <v>475</v>
      </c>
      <c r="C155" s="203" t="s">
        <v>502</v>
      </c>
      <c r="D155" s="191"/>
      <c r="E155" s="204" t="s">
        <v>70</v>
      </c>
      <c r="F155" s="204" t="s">
        <v>345</v>
      </c>
      <c r="G155" s="206">
        <f>'OV1'!E20</f>
        <v>370468480.1</v>
      </c>
      <c r="H155" s="206">
        <f>'OV1'!F20</f>
        <v>293226517.2</v>
      </c>
      <c r="I155" s="206">
        <f>'OV1'!G20</f>
        <v>29637478.41</v>
      </c>
      <c r="J155" s="191"/>
      <c r="K155" s="191"/>
      <c r="L155" s="191"/>
      <c r="M155" s="191"/>
      <c r="N155" s="191"/>
      <c r="O155" s="191"/>
      <c r="P155" s="191"/>
      <c r="Q155" s="191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197" t="s">
        <v>501</v>
      </c>
      <c r="B156" s="187" t="s">
        <v>475</v>
      </c>
      <c r="C156" s="203" t="s">
        <v>502</v>
      </c>
      <c r="D156" s="191"/>
      <c r="E156" s="204" t="s">
        <v>73</v>
      </c>
      <c r="F156" s="204" t="s">
        <v>346</v>
      </c>
      <c r="G156" s="206">
        <f>'OV1'!E21</f>
        <v>370468480.1</v>
      </c>
      <c r="H156" s="206">
        <f>'OV1'!F21</f>
        <v>293226517.2</v>
      </c>
      <c r="I156" s="206">
        <f>'OV1'!G21</f>
        <v>29637478.41</v>
      </c>
      <c r="J156" s="191"/>
      <c r="K156" s="191"/>
      <c r="L156" s="191"/>
      <c r="M156" s="191"/>
      <c r="N156" s="191"/>
      <c r="O156" s="191"/>
      <c r="P156" s="191"/>
      <c r="Q156" s="191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197" t="s">
        <v>501</v>
      </c>
      <c r="B157" s="187" t="s">
        <v>475</v>
      </c>
      <c r="C157" s="203" t="s">
        <v>502</v>
      </c>
      <c r="D157" s="191"/>
      <c r="E157" s="204" t="s">
        <v>75</v>
      </c>
      <c r="F157" s="204" t="s">
        <v>347</v>
      </c>
      <c r="G157" s="206" t="str">
        <f>'OV1'!E22</f>
        <v/>
      </c>
      <c r="H157" s="206" t="str">
        <f>'OV1'!F22</f>
        <v/>
      </c>
      <c r="I157" s="206" t="str">
        <f>'OV1'!G22</f>
        <v/>
      </c>
      <c r="J157" s="191"/>
      <c r="K157" s="191"/>
      <c r="L157" s="191"/>
      <c r="M157" s="191"/>
      <c r="N157" s="191"/>
      <c r="O157" s="191"/>
      <c r="P157" s="191"/>
      <c r="Q157" s="191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197" t="s">
        <v>501</v>
      </c>
      <c r="B158" s="187" t="s">
        <v>475</v>
      </c>
      <c r="C158" s="203" t="s">
        <v>502</v>
      </c>
      <c r="D158" s="191"/>
      <c r="E158" s="204" t="s">
        <v>80</v>
      </c>
      <c r="F158" s="204" t="s">
        <v>348</v>
      </c>
      <c r="G158" s="206">
        <f>'OV1'!E23</f>
        <v>5689263395</v>
      </c>
      <c r="H158" s="206">
        <f>'OV1'!F23</f>
        <v>5689263395</v>
      </c>
      <c r="I158" s="206">
        <f>'OV1'!G23</f>
        <v>455141071.6</v>
      </c>
      <c r="J158" s="191"/>
      <c r="K158" s="191"/>
      <c r="L158" s="191"/>
      <c r="M158" s="191"/>
      <c r="N158" s="191"/>
      <c r="O158" s="191"/>
      <c r="P158" s="191"/>
      <c r="Q158" s="191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197" t="s">
        <v>501</v>
      </c>
      <c r="B159" s="187" t="s">
        <v>475</v>
      </c>
      <c r="C159" s="203" t="s">
        <v>502</v>
      </c>
      <c r="D159" s="191"/>
      <c r="E159" s="204" t="s">
        <v>86</v>
      </c>
      <c r="F159" s="204" t="s">
        <v>349</v>
      </c>
      <c r="G159" s="206">
        <f>'OV1'!E24</f>
        <v>26963627263</v>
      </c>
      <c r="H159" s="206">
        <f>'OV1'!F24</f>
        <v>23726673802</v>
      </c>
      <c r="I159" s="206">
        <f>'OV1'!G24</f>
        <v>2157090181</v>
      </c>
      <c r="J159" s="191"/>
      <c r="K159" s="191"/>
      <c r="L159" s="191"/>
      <c r="M159" s="191"/>
      <c r="N159" s="191"/>
      <c r="O159" s="191"/>
      <c r="P159" s="191"/>
      <c r="Q159" s="191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197" t="s">
        <v>503</v>
      </c>
      <c r="B160" s="187" t="s">
        <v>475</v>
      </c>
      <c r="C160" s="209" t="s">
        <v>504</v>
      </c>
      <c r="D160" s="209" t="s">
        <v>505</v>
      </c>
      <c r="E160" s="204" t="s">
        <v>2</v>
      </c>
      <c r="F160" s="210" t="s">
        <v>352</v>
      </c>
      <c r="G160" s="211">
        <f>'MR1'!E8</f>
        <v>271544319</v>
      </c>
      <c r="H160" s="211" t="str">
        <f t="shared" ref="H160:I160" si="3">#REF!</f>
        <v>#REF!</v>
      </c>
      <c r="I160" s="211" t="str">
        <f t="shared" si="3"/>
        <v>#REF!</v>
      </c>
      <c r="J160" s="191"/>
      <c r="K160" s="191"/>
      <c r="L160" s="191"/>
      <c r="M160" s="191"/>
      <c r="N160" s="191"/>
      <c r="O160" s="191"/>
      <c r="P160" s="191"/>
      <c r="Q160" s="191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197" t="s">
        <v>503</v>
      </c>
      <c r="B161" s="187" t="s">
        <v>475</v>
      </c>
      <c r="C161" s="209" t="s">
        <v>504</v>
      </c>
      <c r="D161" s="209" t="s">
        <v>505</v>
      </c>
      <c r="E161" s="204" t="s">
        <v>353</v>
      </c>
      <c r="F161" s="204" t="s">
        <v>506</v>
      </c>
      <c r="G161" s="211">
        <f>'MR1'!E9</f>
        <v>12322853.75</v>
      </c>
      <c r="H161" s="211" t="str">
        <f t="shared" ref="H161:I161" si="4">#REF!</f>
        <v>#REF!</v>
      </c>
      <c r="I161" s="211" t="str">
        <f t="shared" si="4"/>
        <v>#REF!</v>
      </c>
      <c r="J161" s="191"/>
      <c r="K161" s="191"/>
      <c r="L161" s="191"/>
      <c r="M161" s="191"/>
      <c r="N161" s="191"/>
      <c r="O161" s="191"/>
      <c r="P161" s="191"/>
      <c r="Q161" s="191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197" t="s">
        <v>503</v>
      </c>
      <c r="B162" s="187" t="s">
        <v>475</v>
      </c>
      <c r="C162" s="209" t="s">
        <v>504</v>
      </c>
      <c r="D162" s="209" t="s">
        <v>505</v>
      </c>
      <c r="E162" s="204" t="s">
        <v>355</v>
      </c>
      <c r="F162" s="204" t="s">
        <v>507</v>
      </c>
      <c r="G162" s="206">
        <f>'MR1'!E10</f>
        <v>0</v>
      </c>
      <c r="H162" s="206" t="str">
        <f t="shared" ref="H162:I162" si="5">#REF!</f>
        <v>#REF!</v>
      </c>
      <c r="I162" s="211" t="str">
        <f t="shared" si="5"/>
        <v>#REF!</v>
      </c>
      <c r="J162" s="191"/>
      <c r="K162" s="191"/>
      <c r="L162" s="191"/>
      <c r="M162" s="191"/>
      <c r="N162" s="191"/>
      <c r="O162" s="191"/>
      <c r="P162" s="191"/>
      <c r="Q162" s="191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197" t="s">
        <v>503</v>
      </c>
      <c r="B163" s="187" t="s">
        <v>475</v>
      </c>
      <c r="C163" s="209" t="s">
        <v>504</v>
      </c>
      <c r="D163" s="209" t="s">
        <v>505</v>
      </c>
      <c r="E163" s="204" t="s">
        <v>357</v>
      </c>
      <c r="F163" s="204" t="s">
        <v>508</v>
      </c>
      <c r="G163" s="206">
        <f>'MR1'!E11</f>
        <v>259221465.3</v>
      </c>
      <c r="H163" s="206" t="str">
        <f t="shared" ref="H163:I163" si="6">#REF!</f>
        <v>#REF!</v>
      </c>
      <c r="I163" s="211" t="str">
        <f t="shared" si="6"/>
        <v>#REF!</v>
      </c>
      <c r="J163" s="191"/>
      <c r="K163" s="191"/>
      <c r="L163" s="191"/>
      <c r="M163" s="191"/>
      <c r="N163" s="191"/>
      <c r="O163" s="191"/>
      <c r="P163" s="191"/>
      <c r="Q163" s="191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197" t="s">
        <v>503</v>
      </c>
      <c r="B164" s="187" t="s">
        <v>475</v>
      </c>
      <c r="C164" s="209" t="s">
        <v>504</v>
      </c>
      <c r="D164" s="209" t="s">
        <v>505</v>
      </c>
      <c r="E164" s="204" t="s">
        <v>359</v>
      </c>
      <c r="F164" s="204" t="s">
        <v>509</v>
      </c>
      <c r="G164" s="206">
        <f>'MR1'!E12</f>
        <v>0</v>
      </c>
      <c r="H164" s="206" t="str">
        <f t="shared" ref="H164:I164" si="7">#REF!</f>
        <v>#REF!</v>
      </c>
      <c r="I164" s="211" t="str">
        <f t="shared" si="7"/>
        <v>#REF!</v>
      </c>
      <c r="J164" s="191"/>
      <c r="K164" s="191"/>
      <c r="L164" s="191"/>
      <c r="M164" s="191"/>
      <c r="N164" s="191"/>
      <c r="O164" s="191"/>
      <c r="P164" s="191"/>
      <c r="Q164" s="191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197" t="s">
        <v>503</v>
      </c>
      <c r="B165" s="187" t="s">
        <v>475</v>
      </c>
      <c r="C165" s="209" t="s">
        <v>504</v>
      </c>
      <c r="D165" s="209" t="s">
        <v>505</v>
      </c>
      <c r="E165" s="204" t="s">
        <v>5</v>
      </c>
      <c r="F165" s="204" t="s">
        <v>510</v>
      </c>
      <c r="G165" s="206">
        <f>'MR1'!E13</f>
        <v>0</v>
      </c>
      <c r="H165" s="206" t="str">
        <f t="shared" ref="H165:I165" si="8">#REF!</f>
        <v>#REF!</v>
      </c>
      <c r="I165" s="211" t="str">
        <f t="shared" si="8"/>
        <v>#REF!</v>
      </c>
      <c r="J165" s="191"/>
      <c r="K165" s="191"/>
      <c r="L165" s="191"/>
      <c r="M165" s="191"/>
      <c r="N165" s="191"/>
      <c r="O165" s="191"/>
      <c r="P165" s="191"/>
      <c r="Q165" s="191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197" t="s">
        <v>503</v>
      </c>
      <c r="B166" s="187" t="s">
        <v>475</v>
      </c>
      <c r="C166" s="209" t="s">
        <v>504</v>
      </c>
      <c r="D166" s="209" t="s">
        <v>505</v>
      </c>
      <c r="E166" s="204" t="s">
        <v>10</v>
      </c>
      <c r="F166" s="204" t="s">
        <v>511</v>
      </c>
      <c r="G166" s="206">
        <f>'MR1'!E14</f>
        <v>98924161.1</v>
      </c>
      <c r="H166" s="206" t="str">
        <f t="shared" ref="H166:I166" si="9">#REF!</f>
        <v>#REF!</v>
      </c>
      <c r="I166" s="211" t="str">
        <f t="shared" si="9"/>
        <v>#REF!</v>
      </c>
      <c r="J166" s="191"/>
      <c r="K166" s="191"/>
      <c r="L166" s="191"/>
      <c r="M166" s="191"/>
      <c r="N166" s="191"/>
      <c r="O166" s="191"/>
      <c r="P166" s="191"/>
      <c r="Q166" s="191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197" t="s">
        <v>503</v>
      </c>
      <c r="B167" s="187" t="s">
        <v>475</v>
      </c>
      <c r="C167" s="209" t="s">
        <v>504</v>
      </c>
      <c r="D167" s="209" t="s">
        <v>505</v>
      </c>
      <c r="E167" s="204" t="s">
        <v>13</v>
      </c>
      <c r="F167" s="212" t="s">
        <v>512</v>
      </c>
      <c r="G167" s="206">
        <f>'MR1'!E15</f>
        <v>0</v>
      </c>
      <c r="H167" s="206" t="str">
        <f t="shared" ref="H167:I167" si="10">#REF!</f>
        <v>#REF!</v>
      </c>
      <c r="I167" s="211" t="str">
        <f t="shared" si="10"/>
        <v>#REF!</v>
      </c>
      <c r="J167" s="191"/>
      <c r="K167" s="191"/>
      <c r="L167" s="191"/>
      <c r="M167" s="191"/>
      <c r="N167" s="191"/>
      <c r="O167" s="191"/>
      <c r="P167" s="191"/>
      <c r="Q167" s="191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197" t="s">
        <v>503</v>
      </c>
      <c r="B168" s="187" t="s">
        <v>475</v>
      </c>
      <c r="C168" s="209" t="s">
        <v>504</v>
      </c>
      <c r="D168" s="209" t="s">
        <v>505</v>
      </c>
      <c r="E168" s="204" t="s">
        <v>28</v>
      </c>
      <c r="F168" s="208" t="s">
        <v>364</v>
      </c>
      <c r="G168" s="211">
        <f>'MR1'!E16</f>
        <v>370468480.1</v>
      </c>
      <c r="H168" s="211" t="str">
        <f t="shared" ref="H168:I168" si="11">#REF!</f>
        <v>#REF!</v>
      </c>
      <c r="I168" s="211" t="str">
        <f t="shared" si="11"/>
        <v>#REF!</v>
      </c>
      <c r="J168" s="191"/>
      <c r="K168" s="191"/>
      <c r="L168" s="191"/>
      <c r="M168" s="191"/>
      <c r="N168" s="191"/>
      <c r="O168" s="191"/>
      <c r="P168" s="191"/>
      <c r="Q168" s="191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197" t="s">
        <v>513</v>
      </c>
      <c r="B169" s="187" t="s">
        <v>475</v>
      </c>
      <c r="C169" s="204" t="s">
        <v>502</v>
      </c>
      <c r="D169" s="209" t="s">
        <v>300</v>
      </c>
      <c r="E169" s="204" t="s">
        <v>2</v>
      </c>
      <c r="F169" s="204" t="s">
        <v>170</v>
      </c>
      <c r="G169" s="193">
        <f>'KM1'!E9</f>
        <v>4064004869</v>
      </c>
      <c r="H169" s="193">
        <f>'KM1'!F9</f>
        <v>3346871487</v>
      </c>
      <c r="I169" s="193">
        <f>'KM1'!G9</f>
        <v>3109426251</v>
      </c>
      <c r="J169" s="193">
        <f>'KM1'!H9</f>
        <v>2886185829</v>
      </c>
      <c r="K169" s="193">
        <f>'KM1'!I9</f>
        <v>2605153847</v>
      </c>
      <c r="L169" s="211"/>
      <c r="M169" s="191"/>
      <c r="N169" s="191"/>
      <c r="O169" s="191"/>
      <c r="P169" s="191"/>
      <c r="Q169" s="191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197" t="s">
        <v>513</v>
      </c>
      <c r="B170" s="187" t="s">
        <v>475</v>
      </c>
      <c r="C170" s="204" t="s">
        <v>502</v>
      </c>
      <c r="D170" s="209" t="s">
        <v>300</v>
      </c>
      <c r="E170" s="204" t="s">
        <v>5</v>
      </c>
      <c r="F170" s="204" t="s">
        <v>19</v>
      </c>
      <c r="G170" s="193">
        <f>'KM1'!E10</f>
        <v>4782890907</v>
      </c>
      <c r="H170" s="193">
        <f>'KM1'!F10</f>
        <v>3346871487</v>
      </c>
      <c r="I170" s="193">
        <f>'KM1'!G10</f>
        <v>3109426251</v>
      </c>
      <c r="J170" s="193">
        <f>'KM1'!H10</f>
        <v>2886185829</v>
      </c>
      <c r="K170" s="193">
        <f>'KM1'!I10</f>
        <v>2605153847</v>
      </c>
      <c r="L170" s="211"/>
      <c r="M170" s="191"/>
      <c r="N170" s="191"/>
      <c r="O170" s="191"/>
      <c r="P170" s="191"/>
      <c r="Q170" s="191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197" t="s">
        <v>513</v>
      </c>
      <c r="B171" s="187" t="s">
        <v>475</v>
      </c>
      <c r="C171" s="204" t="s">
        <v>502</v>
      </c>
      <c r="D171" s="209" t="s">
        <v>300</v>
      </c>
      <c r="E171" s="204" t="s">
        <v>10</v>
      </c>
      <c r="F171" s="204" t="s">
        <v>301</v>
      </c>
      <c r="G171" s="193">
        <f>'KM1'!E11</f>
        <v>5764480196</v>
      </c>
      <c r="H171" s="193">
        <f>'KM1'!F11</f>
        <v>4294028461</v>
      </c>
      <c r="I171" s="193">
        <f>'KM1'!G11</f>
        <v>4021785811</v>
      </c>
      <c r="J171" s="193">
        <f>'KM1'!H11</f>
        <v>2991136942</v>
      </c>
      <c r="K171" s="193">
        <f>'KM1'!I11</f>
        <v>2707040512</v>
      </c>
      <c r="L171" s="211"/>
      <c r="M171" s="191"/>
      <c r="N171" s="191"/>
      <c r="O171" s="191"/>
      <c r="P171" s="191"/>
      <c r="Q171" s="191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197" t="s">
        <v>513</v>
      </c>
      <c r="B172" s="187" t="s">
        <v>475</v>
      </c>
      <c r="C172" s="204" t="s">
        <v>502</v>
      </c>
      <c r="D172" s="209" t="s">
        <v>300</v>
      </c>
      <c r="E172" s="204" t="s">
        <v>302</v>
      </c>
      <c r="F172" s="204" t="s">
        <v>303</v>
      </c>
      <c r="G172" s="211" t="str">
        <f>'KM1'!E12</f>
        <v>-</v>
      </c>
      <c r="H172" s="211" t="str">
        <f>'KM1'!F12</f>
        <v>-</v>
      </c>
      <c r="I172" s="211" t="str">
        <f>'KM1'!G12</f>
        <v>-</v>
      </c>
      <c r="J172" s="211" t="str">
        <f>'KM1'!H12</f>
        <v>-</v>
      </c>
      <c r="K172" s="211" t="str">
        <f>'KM1'!I12</f>
        <v>-</v>
      </c>
      <c r="L172" s="211"/>
      <c r="M172" s="191"/>
      <c r="N172" s="191"/>
      <c r="O172" s="191"/>
      <c r="P172" s="191"/>
      <c r="Q172" s="191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197" t="s">
        <v>513</v>
      </c>
      <c r="B173" s="187" t="s">
        <v>475</v>
      </c>
      <c r="C173" s="204" t="s">
        <v>502</v>
      </c>
      <c r="D173" s="209" t="s">
        <v>300</v>
      </c>
      <c r="E173" s="204" t="s">
        <v>304</v>
      </c>
      <c r="F173" s="204" t="s">
        <v>305</v>
      </c>
      <c r="G173" s="211" t="str">
        <f>'KM1'!E13</f>
        <v>-</v>
      </c>
      <c r="H173" s="211" t="str">
        <f>'KM1'!F13</f>
        <v>-</v>
      </c>
      <c r="I173" s="211" t="str">
        <f>'KM1'!G13</f>
        <v>-</v>
      </c>
      <c r="J173" s="211" t="str">
        <f>'KM1'!H13</f>
        <v>-</v>
      </c>
      <c r="K173" s="211" t="str">
        <f>'KM1'!I13</f>
        <v>-</v>
      </c>
      <c r="L173" s="211"/>
      <c r="M173" s="191"/>
      <c r="N173" s="191"/>
      <c r="O173" s="191"/>
      <c r="P173" s="191"/>
      <c r="Q173" s="191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197" t="s">
        <v>513</v>
      </c>
      <c r="B174" s="187" t="s">
        <v>475</v>
      </c>
      <c r="C174" s="204" t="s">
        <v>502</v>
      </c>
      <c r="D174" s="209" t="s">
        <v>306</v>
      </c>
      <c r="E174" s="204" t="s">
        <v>13</v>
      </c>
      <c r="F174" s="204" t="s">
        <v>307</v>
      </c>
      <c r="G174" s="206">
        <f>'KM1'!E15</f>
        <v>26963627263</v>
      </c>
      <c r="H174" s="206">
        <f>'KM1'!F15</f>
        <v>24220149916</v>
      </c>
      <c r="I174" s="206">
        <f>'KM1'!G15</f>
        <v>18590678041</v>
      </c>
      <c r="J174" s="206">
        <f>'KM1'!H15</f>
        <v>16493485113</v>
      </c>
      <c r="K174" s="206">
        <f>'KM1'!I15</f>
        <v>11957297306</v>
      </c>
      <c r="L174" s="211"/>
      <c r="M174" s="191"/>
      <c r="N174" s="191"/>
      <c r="O174" s="191"/>
      <c r="P174" s="191"/>
      <c r="Q174" s="191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197" t="s">
        <v>513</v>
      </c>
      <c r="B175" s="187" t="s">
        <v>475</v>
      </c>
      <c r="C175" s="204" t="s">
        <v>502</v>
      </c>
      <c r="D175" s="204" t="s">
        <v>308</v>
      </c>
      <c r="E175" s="204" t="s">
        <v>16</v>
      </c>
      <c r="F175" s="204" t="s">
        <v>228</v>
      </c>
      <c r="G175" s="211">
        <f>'KM1'!E17</f>
        <v>0.1507</v>
      </c>
      <c r="H175" s="211">
        <f>'KM1'!F17</f>
        <v>0.1382</v>
      </c>
      <c r="I175" s="211">
        <f>'KM1'!G17</f>
        <v>0.1673</v>
      </c>
      <c r="J175" s="211">
        <f>'KM1'!H17</f>
        <v>0.175</v>
      </c>
      <c r="K175" s="211">
        <f>'KM1'!I17</f>
        <v>0.2179</v>
      </c>
      <c r="L175" s="211"/>
      <c r="M175" s="191"/>
      <c r="N175" s="191"/>
      <c r="O175" s="191"/>
      <c r="P175" s="191"/>
      <c r="Q175" s="191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197" t="s">
        <v>513</v>
      </c>
      <c r="B176" s="187" t="s">
        <v>475</v>
      </c>
      <c r="C176" s="204" t="s">
        <v>502</v>
      </c>
      <c r="D176" s="204" t="s">
        <v>308</v>
      </c>
      <c r="E176" s="204" t="s">
        <v>20</v>
      </c>
      <c r="F176" s="208" t="s">
        <v>309</v>
      </c>
      <c r="G176" s="211">
        <f>'KM1'!E18</f>
        <v>0.1774</v>
      </c>
      <c r="H176" s="211">
        <f>'KM1'!F18</f>
        <v>0.1382</v>
      </c>
      <c r="I176" s="211">
        <f>'KM1'!G18</f>
        <v>0.1673</v>
      </c>
      <c r="J176" s="211">
        <f>'KM1'!H18</f>
        <v>0.175</v>
      </c>
      <c r="K176" s="211">
        <f>'KM1'!I18</f>
        <v>0.2179</v>
      </c>
      <c r="L176" s="211"/>
      <c r="M176" s="191"/>
      <c r="N176" s="191"/>
      <c r="O176" s="191"/>
      <c r="P176" s="191"/>
      <c r="Q176" s="191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197" t="s">
        <v>513</v>
      </c>
      <c r="B177" s="187" t="s">
        <v>475</v>
      </c>
      <c r="C177" s="204" t="s">
        <v>502</v>
      </c>
      <c r="D177" s="204" t="s">
        <v>308</v>
      </c>
      <c r="E177" s="204" t="s">
        <v>23</v>
      </c>
      <c r="F177" s="208" t="s">
        <v>310</v>
      </c>
      <c r="G177" s="211">
        <f>'KM1'!E19</f>
        <v>0.2138</v>
      </c>
      <c r="H177" s="211">
        <f>'KM1'!F19</f>
        <v>0.1773</v>
      </c>
      <c r="I177" s="211">
        <f>'KM1'!G19</f>
        <v>0.2163</v>
      </c>
      <c r="J177" s="211">
        <f>'KM1'!H19</f>
        <v>0.1814</v>
      </c>
      <c r="K177" s="211">
        <f>'KM1'!I19</f>
        <v>0.2264</v>
      </c>
      <c r="L177" s="211"/>
      <c r="M177" s="191"/>
      <c r="N177" s="191"/>
      <c r="O177" s="191"/>
      <c r="P177" s="191"/>
      <c r="Q177" s="191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197" t="s">
        <v>513</v>
      </c>
      <c r="B178" s="187" t="s">
        <v>475</v>
      </c>
      <c r="C178" s="204" t="s">
        <v>502</v>
      </c>
      <c r="D178" s="209" t="s">
        <v>311</v>
      </c>
      <c r="E178" s="204" t="s">
        <v>26</v>
      </c>
      <c r="F178" s="204" t="s">
        <v>312</v>
      </c>
      <c r="G178" s="211">
        <f>'KM1'!E21</f>
        <v>0.025</v>
      </c>
      <c r="H178" s="211">
        <f>'KM1'!F21</f>
        <v>0.025</v>
      </c>
      <c r="I178" s="211">
        <f>'KM1'!G21</f>
        <v>0.025</v>
      </c>
      <c r="J178" s="211">
        <f>'KM1'!H21</f>
        <v>0.02</v>
      </c>
      <c r="K178" s="211">
        <f>'KM1'!I21</f>
        <v>0.02</v>
      </c>
      <c r="L178" s="211"/>
      <c r="M178" s="191"/>
      <c r="N178" s="191"/>
      <c r="O178" s="191"/>
      <c r="P178" s="191"/>
      <c r="Q178" s="191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197" t="s">
        <v>513</v>
      </c>
      <c r="B179" s="187" t="s">
        <v>475</v>
      </c>
      <c r="C179" s="204" t="s">
        <v>502</v>
      </c>
      <c r="D179" s="209" t="s">
        <v>311</v>
      </c>
      <c r="E179" s="204" t="s">
        <v>28</v>
      </c>
      <c r="F179" s="204" t="s">
        <v>313</v>
      </c>
      <c r="G179" s="211">
        <f>'KM1'!E22</f>
        <v>0</v>
      </c>
      <c r="H179" s="211">
        <f>'KM1'!F22</f>
        <v>0</v>
      </c>
      <c r="I179" s="211">
        <f>'KM1'!G22</f>
        <v>0</v>
      </c>
      <c r="J179" s="211">
        <f>'KM1'!H22</f>
        <v>0</v>
      </c>
      <c r="K179" s="211">
        <f>'KM1'!I22</f>
        <v>0</v>
      </c>
      <c r="L179" s="211"/>
      <c r="M179" s="191"/>
      <c r="N179" s="191"/>
      <c r="O179" s="191"/>
      <c r="P179" s="191"/>
      <c r="Q179" s="191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197" t="s">
        <v>513</v>
      </c>
      <c r="B180" s="187" t="s">
        <v>475</v>
      </c>
      <c r="C180" s="204" t="s">
        <v>502</v>
      </c>
      <c r="D180" s="209" t="s">
        <v>311</v>
      </c>
      <c r="E180" s="204" t="s">
        <v>30</v>
      </c>
      <c r="F180" s="204" t="s">
        <v>314</v>
      </c>
      <c r="G180" s="211">
        <f>'KM1'!E23</f>
        <v>0</v>
      </c>
      <c r="H180" s="211">
        <f>'KM1'!F23</f>
        <v>0</v>
      </c>
      <c r="I180" s="211">
        <f>'KM1'!G23</f>
        <v>0</v>
      </c>
      <c r="J180" s="211">
        <f>'KM1'!H23</f>
        <v>0</v>
      </c>
      <c r="K180" s="211">
        <f>'KM1'!I23</f>
        <v>0</v>
      </c>
      <c r="L180" s="211"/>
      <c r="M180" s="191"/>
      <c r="N180" s="191"/>
      <c r="O180" s="191"/>
      <c r="P180" s="191"/>
      <c r="Q180" s="191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197" t="s">
        <v>513</v>
      </c>
      <c r="B181" s="187" t="s">
        <v>475</v>
      </c>
      <c r="C181" s="204" t="s">
        <v>502</v>
      </c>
      <c r="D181" s="209" t="s">
        <v>311</v>
      </c>
      <c r="E181" s="204" t="s">
        <v>33</v>
      </c>
      <c r="F181" s="204" t="s">
        <v>315</v>
      </c>
      <c r="G181" s="211">
        <f>'KM1'!E24</f>
        <v>0.025</v>
      </c>
      <c r="H181" s="211">
        <f>'KM1'!F24</f>
        <v>0.025</v>
      </c>
      <c r="I181" s="211">
        <f>'KM1'!G24</f>
        <v>0.025</v>
      </c>
      <c r="J181" s="211">
        <f>'KM1'!H24</f>
        <v>0.02</v>
      </c>
      <c r="K181" s="211">
        <f>'KM1'!I24</f>
        <v>0.02</v>
      </c>
      <c r="L181" s="211"/>
      <c r="M181" s="191"/>
      <c r="N181" s="191"/>
      <c r="O181" s="191"/>
      <c r="P181" s="191"/>
      <c r="Q181" s="191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197" t="s">
        <v>513</v>
      </c>
      <c r="B182" s="187" t="s">
        <v>475</v>
      </c>
      <c r="C182" s="204" t="s">
        <v>502</v>
      </c>
      <c r="D182" s="209" t="s">
        <v>311</v>
      </c>
      <c r="E182" s="204" t="s">
        <v>38</v>
      </c>
      <c r="F182" s="204" t="s">
        <v>316</v>
      </c>
      <c r="G182" s="211">
        <f>'KM1'!E25</f>
        <v>0.0807</v>
      </c>
      <c r="H182" s="211">
        <f>'KM1'!F25</f>
        <v>0.0682</v>
      </c>
      <c r="I182" s="211">
        <f>'KM1'!G25</f>
        <v>0.0973</v>
      </c>
      <c r="J182" s="211">
        <f>'KM1'!H25</f>
        <v>0.11</v>
      </c>
      <c r="K182" s="211">
        <f>'KM1'!I25</f>
        <v>0.1529</v>
      </c>
      <c r="L182" s="211"/>
      <c r="M182" s="191"/>
      <c r="N182" s="191"/>
      <c r="O182" s="191"/>
      <c r="P182" s="191"/>
      <c r="Q182" s="191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197" t="s">
        <v>513</v>
      </c>
      <c r="B183" s="187" t="s">
        <v>475</v>
      </c>
      <c r="C183" s="204" t="s">
        <v>502</v>
      </c>
      <c r="D183" s="208" t="s">
        <v>317</v>
      </c>
      <c r="E183" s="204" t="s">
        <v>42</v>
      </c>
      <c r="F183" s="204" t="s">
        <v>318</v>
      </c>
      <c r="G183" s="211" t="str">
        <f>'KM1'!E27</f>
        <v>NA</v>
      </c>
      <c r="H183" s="211" t="str">
        <f>'KM1'!F27</f>
        <v>NA</v>
      </c>
      <c r="I183" s="211" t="str">
        <f>'KM1'!G27</f>
        <v>NA</v>
      </c>
      <c r="J183" s="211" t="str">
        <f>'KM1'!H27</f>
        <v>NA</v>
      </c>
      <c r="K183" s="211" t="str">
        <f>'KM1'!I27</f>
        <v>NA</v>
      </c>
      <c r="L183" s="211"/>
      <c r="M183" s="191"/>
      <c r="N183" s="191"/>
      <c r="O183" s="191"/>
      <c r="P183" s="191"/>
      <c r="Q183" s="191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197" t="s">
        <v>513</v>
      </c>
      <c r="B184" s="187" t="s">
        <v>475</v>
      </c>
      <c r="C184" s="204" t="s">
        <v>502</v>
      </c>
      <c r="D184" s="208" t="s">
        <v>317</v>
      </c>
      <c r="E184" s="204" t="s">
        <v>46</v>
      </c>
      <c r="F184" s="204" t="s">
        <v>319</v>
      </c>
      <c r="G184" s="211" t="str">
        <f>'KM1'!E28</f>
        <v>NA</v>
      </c>
      <c r="H184" s="211" t="str">
        <f>'KM1'!F28</f>
        <v>NA</v>
      </c>
      <c r="I184" s="211" t="str">
        <f>'KM1'!G28</f>
        <v>NA</v>
      </c>
      <c r="J184" s="211" t="str">
        <f>'KM1'!H28</f>
        <v>NA</v>
      </c>
      <c r="K184" s="211" t="str">
        <f>'KM1'!I28</f>
        <v>NA</v>
      </c>
      <c r="L184" s="211"/>
      <c r="M184" s="191"/>
      <c r="N184" s="191"/>
      <c r="O184" s="191"/>
      <c r="P184" s="191"/>
      <c r="Q184" s="191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197" t="s">
        <v>513</v>
      </c>
      <c r="B185" s="187" t="s">
        <v>475</v>
      </c>
      <c r="C185" s="204" t="s">
        <v>502</v>
      </c>
      <c r="D185" s="208" t="s">
        <v>320</v>
      </c>
      <c r="E185" s="204" t="s">
        <v>49</v>
      </c>
      <c r="F185" s="204" t="s">
        <v>321</v>
      </c>
      <c r="G185" s="211" t="str">
        <f>'KM1'!E30</f>
        <v>NA</v>
      </c>
      <c r="H185" s="211" t="str">
        <f>'KM1'!F30</f>
        <v>NA</v>
      </c>
      <c r="I185" s="211" t="str">
        <f>'KM1'!G30</f>
        <v>NA</v>
      </c>
      <c r="J185" s="211" t="str">
        <f>'KM1'!H30</f>
        <v>NA</v>
      </c>
      <c r="K185" s="211" t="str">
        <f>'KM1'!I30</f>
        <v>NA</v>
      </c>
      <c r="L185" s="211"/>
      <c r="M185" s="191"/>
      <c r="N185" s="191"/>
      <c r="O185" s="191"/>
      <c r="P185" s="191"/>
      <c r="Q185" s="191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197" t="s">
        <v>513</v>
      </c>
      <c r="B186" s="187" t="s">
        <v>475</v>
      </c>
      <c r="C186" s="204" t="s">
        <v>502</v>
      </c>
      <c r="D186" s="208" t="s">
        <v>320</v>
      </c>
      <c r="E186" s="204" t="s">
        <v>53</v>
      </c>
      <c r="F186" s="204" t="s">
        <v>322</v>
      </c>
      <c r="G186" s="211" t="str">
        <f>'KM1'!E31</f>
        <v>NA</v>
      </c>
      <c r="H186" s="211" t="str">
        <f>'KM1'!F31</f>
        <v>NA</v>
      </c>
      <c r="I186" s="211" t="str">
        <f>'KM1'!G31</f>
        <v>NA</v>
      </c>
      <c r="J186" s="211" t="str">
        <f>'KM1'!H31</f>
        <v>NA</v>
      </c>
      <c r="K186" s="211" t="str">
        <f>'KM1'!I31</f>
        <v>NA</v>
      </c>
      <c r="L186" s="211"/>
      <c r="M186" s="191"/>
      <c r="N186" s="191"/>
      <c r="O186" s="191"/>
      <c r="P186" s="191"/>
      <c r="Q186" s="191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197" t="s">
        <v>513</v>
      </c>
      <c r="B187" s="187" t="s">
        <v>475</v>
      </c>
      <c r="C187" s="204" t="s">
        <v>502</v>
      </c>
      <c r="D187" s="208" t="s">
        <v>320</v>
      </c>
      <c r="E187" s="204" t="s">
        <v>59</v>
      </c>
      <c r="F187" s="204" t="s">
        <v>323</v>
      </c>
      <c r="G187" s="211" t="str">
        <f>'KM1'!E32</f>
        <v>NA</v>
      </c>
      <c r="H187" s="211" t="str">
        <f>'KM1'!F32</f>
        <v>NA</v>
      </c>
      <c r="I187" s="211" t="str">
        <f>'KM1'!G32</f>
        <v>NA</v>
      </c>
      <c r="J187" s="211" t="str">
        <f>'KM1'!H32</f>
        <v>NA</v>
      </c>
      <c r="K187" s="211" t="str">
        <f>'KM1'!I32</f>
        <v>NA</v>
      </c>
      <c r="L187" s="211"/>
      <c r="M187" s="191"/>
      <c r="N187" s="191"/>
      <c r="O187" s="191"/>
      <c r="P187" s="191"/>
      <c r="Q187" s="191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197" t="s">
        <v>513</v>
      </c>
      <c r="B188" s="187" t="s">
        <v>475</v>
      </c>
      <c r="C188" s="204" t="s">
        <v>502</v>
      </c>
      <c r="D188" s="208" t="s">
        <v>324</v>
      </c>
      <c r="E188" s="204" t="s">
        <v>62</v>
      </c>
      <c r="F188" s="204" t="s">
        <v>325</v>
      </c>
      <c r="G188" s="211" t="str">
        <f>'KM1'!E34</f>
        <v>NA</v>
      </c>
      <c r="H188" s="211" t="str">
        <f>'KM1'!F34</f>
        <v>NA</v>
      </c>
      <c r="I188" s="211" t="str">
        <f>'KM1'!G34</f>
        <v>NA</v>
      </c>
      <c r="J188" s="211" t="str">
        <f>'KM1'!H34</f>
        <v>NA</v>
      </c>
      <c r="K188" s="211" t="str">
        <f>'KM1'!I34</f>
        <v>NA</v>
      </c>
      <c r="L188" s="211"/>
      <c r="M188" s="191"/>
      <c r="N188" s="191"/>
      <c r="O188" s="191"/>
      <c r="P188" s="191"/>
      <c r="Q188" s="191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197" t="s">
        <v>513</v>
      </c>
      <c r="B189" s="187" t="s">
        <v>475</v>
      </c>
      <c r="C189" s="204" t="s">
        <v>502</v>
      </c>
      <c r="D189" s="208" t="s">
        <v>324</v>
      </c>
      <c r="E189" s="204" t="s">
        <v>67</v>
      </c>
      <c r="F189" s="204" t="s">
        <v>326</v>
      </c>
      <c r="G189" s="211" t="str">
        <f>'KM1'!E35</f>
        <v>NA</v>
      </c>
      <c r="H189" s="211" t="str">
        <f>'KM1'!F35</f>
        <v>NA</v>
      </c>
      <c r="I189" s="211" t="str">
        <f>'KM1'!G35</f>
        <v>NA</v>
      </c>
      <c r="J189" s="211" t="str">
        <f>'KM1'!H35</f>
        <v>NA</v>
      </c>
      <c r="K189" s="211" t="str">
        <f>'KM1'!I35</f>
        <v>NA</v>
      </c>
      <c r="L189" s="211"/>
      <c r="M189" s="191"/>
      <c r="N189" s="191"/>
      <c r="O189" s="191"/>
      <c r="P189" s="191"/>
      <c r="Q189" s="191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197" t="s">
        <v>513</v>
      </c>
      <c r="B190" s="187" t="s">
        <v>475</v>
      </c>
      <c r="C190" s="204" t="s">
        <v>502</v>
      </c>
      <c r="D190" s="208" t="s">
        <v>324</v>
      </c>
      <c r="E190" s="204" t="s">
        <v>70</v>
      </c>
      <c r="F190" s="204" t="s">
        <v>327</v>
      </c>
      <c r="G190" s="211" t="str">
        <f>'KM1'!E36</f>
        <v>NA</v>
      </c>
      <c r="H190" s="211" t="str">
        <f>'KM1'!F36</f>
        <v>NA</v>
      </c>
      <c r="I190" s="211" t="str">
        <f>'KM1'!G36</f>
        <v>NA</v>
      </c>
      <c r="J190" s="211" t="str">
        <f>'KM1'!H36</f>
        <v>NA</v>
      </c>
      <c r="K190" s="211" t="str">
        <f>'KM1'!I36</f>
        <v>NA</v>
      </c>
      <c r="L190" s="211"/>
      <c r="M190" s="191"/>
      <c r="N190" s="191"/>
      <c r="O190" s="191"/>
      <c r="P190" s="191"/>
      <c r="Q190" s="191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197" t="s">
        <v>514</v>
      </c>
      <c r="B191" s="187" t="s">
        <v>475</v>
      </c>
      <c r="C191" s="204" t="s">
        <v>515</v>
      </c>
      <c r="D191" s="188"/>
      <c r="E191" s="204" t="s">
        <v>2</v>
      </c>
      <c r="F191" s="210" t="s">
        <v>372</v>
      </c>
      <c r="G191" s="206">
        <f>'CR1'!E8</f>
        <v>4547389</v>
      </c>
      <c r="H191" s="206">
        <f>'CR1'!F8</f>
        <v>31529123</v>
      </c>
      <c r="I191" s="206">
        <f>'CR1'!G8</f>
        <v>6698235</v>
      </c>
      <c r="J191" s="213"/>
      <c r="K191" s="213"/>
      <c r="L191" s="213"/>
      <c r="M191" s="206">
        <f>'CR1'!H8</f>
        <v>29378277</v>
      </c>
      <c r="N191" s="191"/>
      <c r="O191" s="191"/>
      <c r="P191" s="191"/>
      <c r="Q191" s="191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197" t="s">
        <v>514</v>
      </c>
      <c r="B192" s="187" t="s">
        <v>475</v>
      </c>
      <c r="C192" s="204" t="s">
        <v>515</v>
      </c>
      <c r="D192" s="188"/>
      <c r="E192" s="204" t="s">
        <v>5</v>
      </c>
      <c r="F192" s="204" t="s">
        <v>373</v>
      </c>
      <c r="G192" s="206" t="str">
        <f>'CR1'!E9</f>
        <v/>
      </c>
      <c r="H192" s="206">
        <f>'CR1'!F9</f>
        <v>32107799</v>
      </c>
      <c r="I192" s="206" t="str">
        <f>'CR1'!G9</f>
        <v/>
      </c>
      <c r="J192" s="213"/>
      <c r="K192" s="213"/>
      <c r="L192" s="213"/>
      <c r="M192" s="206">
        <f>'CR1'!H9</f>
        <v>32107799</v>
      </c>
      <c r="N192" s="191"/>
      <c r="O192" s="191"/>
      <c r="P192" s="191"/>
      <c r="Q192" s="191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197" t="s">
        <v>514</v>
      </c>
      <c r="B193" s="187" t="s">
        <v>475</v>
      </c>
      <c r="C193" s="204" t="s">
        <v>515</v>
      </c>
      <c r="D193" s="188"/>
      <c r="E193" s="204" t="s">
        <v>374</v>
      </c>
      <c r="F193" s="204" t="s">
        <v>375</v>
      </c>
      <c r="G193" s="206" t="str">
        <f>'CR1'!E10</f>
        <v/>
      </c>
      <c r="H193" s="206">
        <f>'CR1'!F10</f>
        <v>31254726</v>
      </c>
      <c r="I193" s="206" t="str">
        <f>'CR1'!G10</f>
        <v/>
      </c>
      <c r="J193" s="213"/>
      <c r="K193" s="213"/>
      <c r="L193" s="213"/>
      <c r="M193" s="206">
        <f>'CR1'!H10</f>
        <v>31254726</v>
      </c>
      <c r="N193" s="191"/>
      <c r="O193" s="191"/>
      <c r="P193" s="191"/>
      <c r="Q193" s="191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197" t="s">
        <v>514</v>
      </c>
      <c r="B194" s="187" t="s">
        <v>475</v>
      </c>
      <c r="C194" s="204" t="s">
        <v>515</v>
      </c>
      <c r="D194" s="188"/>
      <c r="E194" s="204" t="s">
        <v>376</v>
      </c>
      <c r="F194" s="204" t="s">
        <v>377</v>
      </c>
      <c r="G194" s="206" t="str">
        <f>'CR1'!E11</f>
        <v/>
      </c>
      <c r="H194" s="206">
        <f>'CR1'!F11</f>
        <v>853073</v>
      </c>
      <c r="I194" s="206" t="str">
        <f>'CR1'!G11</f>
        <v/>
      </c>
      <c r="J194" s="213"/>
      <c r="K194" s="213"/>
      <c r="L194" s="213"/>
      <c r="M194" s="206">
        <f>'CR1'!H11</f>
        <v>853073</v>
      </c>
      <c r="N194" s="191"/>
      <c r="O194" s="191"/>
      <c r="P194" s="191"/>
      <c r="Q194" s="191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197" t="s">
        <v>514</v>
      </c>
      <c r="B195" s="187" t="s">
        <v>475</v>
      </c>
      <c r="C195" s="204" t="s">
        <v>515</v>
      </c>
      <c r="D195" s="188"/>
      <c r="E195" s="204" t="s">
        <v>10</v>
      </c>
      <c r="F195" s="204" t="s">
        <v>378</v>
      </c>
      <c r="G195" s="206" t="str">
        <f>'CR1'!E12</f>
        <v/>
      </c>
      <c r="H195" s="206">
        <f>'CR1'!F12</f>
        <v>233404</v>
      </c>
      <c r="I195" s="206" t="str">
        <f>'CR1'!G12</f>
        <v/>
      </c>
      <c r="J195" s="213"/>
      <c r="K195" s="213"/>
      <c r="L195" s="213"/>
      <c r="M195" s="206">
        <f>'CR1'!H12</f>
        <v>233404</v>
      </c>
      <c r="N195" s="191"/>
      <c r="O195" s="191"/>
      <c r="P195" s="191"/>
      <c r="Q195" s="191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197" t="s">
        <v>514</v>
      </c>
      <c r="B196" s="187" t="s">
        <v>475</v>
      </c>
      <c r="C196" s="204" t="s">
        <v>515</v>
      </c>
      <c r="D196" s="188"/>
      <c r="E196" s="204" t="s">
        <v>13</v>
      </c>
      <c r="F196" s="204" t="s">
        <v>379</v>
      </c>
      <c r="G196" s="206">
        <f>'CR1'!E13</f>
        <v>4547389</v>
      </c>
      <c r="H196" s="206">
        <f>'CR1'!F13</f>
        <v>63870326</v>
      </c>
      <c r="I196" s="206">
        <f>'CR1'!G13</f>
        <v>6698235</v>
      </c>
      <c r="J196" s="213"/>
      <c r="K196" s="213"/>
      <c r="L196" s="213"/>
      <c r="M196" s="206">
        <f>'CR1'!H13</f>
        <v>61719480</v>
      </c>
      <c r="N196" s="191"/>
      <c r="O196" s="191"/>
      <c r="P196" s="191"/>
      <c r="Q196" s="191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197" t="s">
        <v>516</v>
      </c>
      <c r="B197" s="187" t="s">
        <v>475</v>
      </c>
      <c r="C197" s="204" t="s">
        <v>515</v>
      </c>
      <c r="D197" s="188"/>
      <c r="E197" s="204" t="s">
        <v>2</v>
      </c>
      <c r="F197" s="210" t="s">
        <v>381</v>
      </c>
      <c r="G197" s="206">
        <f>'CR2'!E8</f>
        <v>2689376</v>
      </c>
      <c r="H197" s="214"/>
      <c r="I197" s="213"/>
      <c r="J197" s="213"/>
      <c r="K197" s="213"/>
      <c r="L197" s="213"/>
      <c r="M197" s="213"/>
      <c r="N197" s="191"/>
      <c r="O197" s="191"/>
      <c r="P197" s="191"/>
      <c r="Q197" s="191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197" t="s">
        <v>516</v>
      </c>
      <c r="B198" s="187" t="s">
        <v>475</v>
      </c>
      <c r="C198" s="204" t="s">
        <v>515</v>
      </c>
      <c r="D198" s="188"/>
      <c r="E198" s="204" t="s">
        <v>5</v>
      </c>
      <c r="F198" s="204" t="s">
        <v>382</v>
      </c>
      <c r="G198" s="206">
        <f>'CR2'!E9</f>
        <v>3280321</v>
      </c>
      <c r="H198" s="214"/>
      <c r="I198" s="213"/>
      <c r="J198" s="213"/>
      <c r="K198" s="213"/>
      <c r="L198" s="213"/>
      <c r="M198" s="213"/>
      <c r="N198" s="191"/>
      <c r="O198" s="191"/>
      <c r="P198" s="191"/>
      <c r="Q198" s="191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197" t="s">
        <v>516</v>
      </c>
      <c r="B199" s="187" t="s">
        <v>475</v>
      </c>
      <c r="C199" s="204" t="s">
        <v>515</v>
      </c>
      <c r="D199" s="188"/>
      <c r="E199" s="204" t="s">
        <v>10</v>
      </c>
      <c r="F199" s="204" t="s">
        <v>383</v>
      </c>
      <c r="G199" s="206">
        <f>'CR2'!E10</f>
        <v>-76744</v>
      </c>
      <c r="H199" s="214"/>
      <c r="I199" s="213"/>
      <c r="J199" s="213"/>
      <c r="K199" s="213"/>
      <c r="L199" s="213"/>
      <c r="M199" s="213"/>
      <c r="N199" s="191"/>
      <c r="O199" s="191"/>
      <c r="P199" s="191"/>
      <c r="Q199" s="191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197" t="s">
        <v>516</v>
      </c>
      <c r="B200" s="187" t="s">
        <v>475</v>
      </c>
      <c r="C200" s="204" t="s">
        <v>515</v>
      </c>
      <c r="D200" s="188"/>
      <c r="E200" s="204" t="s">
        <v>13</v>
      </c>
      <c r="F200" s="204" t="s">
        <v>384</v>
      </c>
      <c r="G200" s="206">
        <f>'CR2'!E11</f>
        <v>-1258602</v>
      </c>
      <c r="H200" s="214"/>
      <c r="I200" s="213"/>
      <c r="J200" s="213"/>
      <c r="K200" s="213"/>
      <c r="L200" s="213"/>
      <c r="M200" s="213"/>
      <c r="N200" s="191"/>
      <c r="O200" s="191"/>
      <c r="P200" s="191"/>
      <c r="Q200" s="191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197" t="s">
        <v>516</v>
      </c>
      <c r="B201" s="187" t="s">
        <v>475</v>
      </c>
      <c r="C201" s="204" t="s">
        <v>515</v>
      </c>
      <c r="D201" s="188"/>
      <c r="E201" s="204" t="s">
        <v>16</v>
      </c>
      <c r="F201" s="204" t="s">
        <v>385</v>
      </c>
      <c r="G201" s="206">
        <f>'CR2'!E12</f>
        <v>-86962</v>
      </c>
      <c r="H201" s="214"/>
      <c r="I201" s="213"/>
      <c r="J201" s="213"/>
      <c r="K201" s="213"/>
      <c r="L201" s="213"/>
      <c r="M201" s="213"/>
      <c r="N201" s="191"/>
      <c r="O201" s="191"/>
      <c r="P201" s="191"/>
      <c r="Q201" s="191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197" t="s">
        <v>516</v>
      </c>
      <c r="B202" s="187" t="s">
        <v>475</v>
      </c>
      <c r="C202" s="204" t="s">
        <v>515</v>
      </c>
      <c r="D202" s="188"/>
      <c r="E202" s="204" t="s">
        <v>20</v>
      </c>
      <c r="F202" s="204" t="s">
        <v>386</v>
      </c>
      <c r="G202" s="206">
        <f>'CR2'!E13</f>
        <v>4547389</v>
      </c>
      <c r="H202" s="214"/>
      <c r="I202" s="213"/>
      <c r="J202" s="213"/>
      <c r="K202" s="213"/>
      <c r="L202" s="213"/>
      <c r="M202" s="213"/>
      <c r="N202" s="191"/>
      <c r="O202" s="191"/>
      <c r="P202" s="191"/>
      <c r="Q202" s="191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191"/>
      <c r="B203" s="191"/>
      <c r="C203" s="191"/>
      <c r="D203" s="191"/>
      <c r="E203" s="191"/>
      <c r="F203" s="191"/>
      <c r="G203" s="211" t="str">
        <f>'CR2'!E14</f>
        <v/>
      </c>
      <c r="H203" s="215"/>
      <c r="I203" s="191"/>
      <c r="J203" s="191"/>
      <c r="K203" s="191"/>
      <c r="L203" s="191"/>
      <c r="M203" s="191"/>
      <c r="N203" s="191"/>
      <c r="O203" s="191"/>
      <c r="P203" s="191"/>
      <c r="Q203" s="191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191"/>
      <c r="B204" s="191"/>
      <c r="C204" s="191"/>
      <c r="D204" s="191"/>
      <c r="E204" s="191"/>
      <c r="F204" s="191"/>
      <c r="G204" s="211"/>
      <c r="H204" s="215"/>
      <c r="I204" s="191"/>
      <c r="J204" s="191"/>
      <c r="K204" s="191"/>
      <c r="L204" s="191"/>
      <c r="M204" s="191"/>
      <c r="N204" s="191"/>
      <c r="O204" s="191"/>
      <c r="P204" s="191"/>
      <c r="Q204" s="191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58"/>
      <c r="D205" s="58"/>
      <c r="E205" s="58"/>
      <c r="F205" s="58"/>
      <c r="G205" s="59"/>
      <c r="H205" s="60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58"/>
      <c r="D206" s="58"/>
      <c r="E206" s="58"/>
      <c r="F206" s="58"/>
      <c r="G206" s="59"/>
      <c r="H206" s="60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58"/>
      <c r="D207" s="58"/>
      <c r="E207" s="58"/>
      <c r="F207" s="58"/>
      <c r="G207" s="59"/>
      <c r="H207" s="60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58"/>
      <c r="D208" s="58"/>
      <c r="E208" s="58"/>
      <c r="F208" s="58"/>
      <c r="G208" s="59"/>
      <c r="H208" s="60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58"/>
      <c r="D209" s="58"/>
      <c r="E209" s="58"/>
      <c r="F209" s="58"/>
      <c r="G209" s="59"/>
      <c r="H209" s="60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58"/>
      <c r="D210" s="58"/>
      <c r="E210" s="58"/>
      <c r="F210" s="58"/>
      <c r="G210" s="59"/>
      <c r="H210" s="60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58"/>
      <c r="D211" s="58"/>
      <c r="E211" s="58"/>
      <c r="F211" s="58"/>
      <c r="G211" s="59"/>
      <c r="H211" s="60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58"/>
      <c r="D212" s="58"/>
      <c r="E212" s="58"/>
      <c r="F212" s="58"/>
      <c r="G212" s="59"/>
      <c r="H212" s="60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58"/>
      <c r="D213" s="58"/>
      <c r="E213" s="58"/>
      <c r="F213" s="58"/>
      <c r="G213" s="59"/>
      <c r="H213" s="60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58"/>
      <c r="D214" s="58"/>
      <c r="E214" s="58"/>
      <c r="F214" s="58"/>
      <c r="G214" s="59"/>
      <c r="H214" s="60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58"/>
      <c r="D215" s="58"/>
      <c r="E215" s="58"/>
      <c r="F215" s="58"/>
      <c r="G215" s="59"/>
      <c r="H215" s="60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58"/>
      <c r="D216" s="58"/>
      <c r="E216" s="58"/>
      <c r="F216" s="58"/>
      <c r="G216" s="59"/>
      <c r="H216" s="60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58"/>
      <c r="D217" s="58"/>
      <c r="E217" s="58"/>
      <c r="F217" s="58"/>
      <c r="G217" s="59"/>
      <c r="H217" s="60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58"/>
      <c r="D218" s="58"/>
      <c r="E218" s="58"/>
      <c r="F218" s="58"/>
      <c r="G218" s="59"/>
      <c r="H218" s="60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58"/>
      <c r="D219" s="58"/>
      <c r="E219" s="58"/>
      <c r="F219" s="58"/>
      <c r="G219" s="59"/>
      <c r="H219" s="60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58"/>
      <c r="D220" s="58"/>
      <c r="E220" s="58"/>
      <c r="F220" s="58"/>
      <c r="G220" s="59"/>
      <c r="H220" s="60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58"/>
      <c r="D221" s="58"/>
      <c r="E221" s="58"/>
      <c r="F221" s="58"/>
      <c r="G221" s="59"/>
      <c r="H221" s="60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58"/>
      <c r="D222" s="58"/>
      <c r="E222" s="58"/>
      <c r="F222" s="58"/>
      <c r="G222" s="59"/>
      <c r="H222" s="60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58"/>
      <c r="D223" s="58"/>
      <c r="E223" s="58"/>
      <c r="F223" s="58"/>
      <c r="G223" s="59"/>
      <c r="H223" s="60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58"/>
      <c r="D224" s="58"/>
      <c r="E224" s="58"/>
      <c r="F224" s="58"/>
      <c r="G224" s="59"/>
      <c r="H224" s="60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58"/>
      <c r="D225" s="58"/>
      <c r="E225" s="58"/>
      <c r="F225" s="58"/>
      <c r="G225" s="59"/>
      <c r="H225" s="60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58"/>
      <c r="D226" s="58"/>
      <c r="E226" s="58"/>
      <c r="F226" s="58"/>
      <c r="G226" s="59"/>
      <c r="H226" s="60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58"/>
      <c r="D227" s="58"/>
      <c r="E227" s="58"/>
      <c r="F227" s="58"/>
      <c r="G227" s="59"/>
      <c r="H227" s="60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58"/>
      <c r="D228" s="58"/>
      <c r="E228" s="58"/>
      <c r="F228" s="58"/>
      <c r="G228" s="59"/>
      <c r="H228" s="60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58"/>
      <c r="D229" s="58"/>
      <c r="E229" s="58"/>
      <c r="F229" s="58"/>
      <c r="G229" s="59"/>
      <c r="H229" s="60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58"/>
      <c r="D230" s="58"/>
      <c r="E230" s="58"/>
      <c r="F230" s="58"/>
      <c r="G230" s="59"/>
      <c r="H230" s="60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58"/>
      <c r="D231" s="58"/>
      <c r="E231" s="58"/>
      <c r="F231" s="58"/>
      <c r="G231" s="59"/>
      <c r="H231" s="60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58"/>
      <c r="D232" s="58"/>
      <c r="E232" s="58"/>
      <c r="F232" s="58"/>
      <c r="G232" s="59"/>
      <c r="H232" s="60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58"/>
      <c r="D233" s="58"/>
      <c r="E233" s="58"/>
      <c r="F233" s="58"/>
      <c r="G233" s="59"/>
      <c r="H233" s="60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58"/>
      <c r="D234" s="58"/>
      <c r="E234" s="58"/>
      <c r="F234" s="58"/>
      <c r="G234" s="59"/>
      <c r="H234" s="60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58"/>
      <c r="D235" s="58"/>
      <c r="E235" s="58"/>
      <c r="F235" s="58"/>
      <c r="G235" s="59"/>
      <c r="H235" s="60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58"/>
      <c r="D236" s="58"/>
      <c r="E236" s="58"/>
      <c r="F236" s="58"/>
      <c r="G236" s="59"/>
      <c r="H236" s="60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58"/>
      <c r="D237" s="58"/>
      <c r="E237" s="58"/>
      <c r="F237" s="58"/>
      <c r="G237" s="59"/>
      <c r="H237" s="60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59"/>
      <c r="H238" s="60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9"/>
      <c r="H239" s="60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9"/>
      <c r="H240" s="60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58"/>
      <c r="D241" s="58"/>
      <c r="E241" s="58"/>
      <c r="F241" s="58"/>
      <c r="G241" s="59"/>
      <c r="H241" s="60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58"/>
      <c r="D242" s="58"/>
      <c r="E242" s="58"/>
      <c r="F242" s="58"/>
      <c r="G242" s="59"/>
      <c r="H242" s="60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58"/>
      <c r="D243" s="58"/>
      <c r="E243" s="58"/>
      <c r="F243" s="58"/>
      <c r="G243" s="59"/>
      <c r="H243" s="60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58"/>
      <c r="D244" s="58"/>
      <c r="E244" s="58"/>
      <c r="F244" s="58"/>
      <c r="G244" s="59"/>
      <c r="H244" s="60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58"/>
      <c r="D245" s="58"/>
      <c r="E245" s="58"/>
      <c r="F245" s="58"/>
      <c r="G245" s="59"/>
      <c r="H245" s="60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58"/>
      <c r="D246" s="58"/>
      <c r="E246" s="58"/>
      <c r="F246" s="58"/>
      <c r="G246" s="59"/>
      <c r="H246" s="60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58"/>
      <c r="D247" s="58"/>
      <c r="E247" s="58"/>
      <c r="F247" s="58"/>
      <c r="G247" s="59"/>
      <c r="H247" s="60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58"/>
      <c r="D248" s="58"/>
      <c r="E248" s="58"/>
      <c r="F248" s="58"/>
      <c r="G248" s="59"/>
      <c r="H248" s="60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58"/>
      <c r="D249" s="58"/>
      <c r="E249" s="58"/>
      <c r="F249" s="58"/>
      <c r="G249" s="59"/>
      <c r="H249" s="60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58"/>
      <c r="D250" s="58"/>
      <c r="E250" s="58"/>
      <c r="F250" s="58"/>
      <c r="G250" s="59"/>
      <c r="H250" s="60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58"/>
      <c r="D251" s="58"/>
      <c r="E251" s="58"/>
      <c r="F251" s="58"/>
      <c r="G251" s="59"/>
      <c r="H251" s="60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58"/>
      <c r="D252" s="58"/>
      <c r="E252" s="58"/>
      <c r="F252" s="58"/>
      <c r="G252" s="59"/>
      <c r="H252" s="60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58"/>
      <c r="D253" s="58"/>
      <c r="E253" s="58"/>
      <c r="F253" s="58"/>
      <c r="G253" s="59"/>
      <c r="H253" s="60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58"/>
      <c r="D254" s="58"/>
      <c r="E254" s="58"/>
      <c r="F254" s="58"/>
      <c r="G254" s="59"/>
      <c r="H254" s="60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58"/>
      <c r="D255" s="58"/>
      <c r="E255" s="58"/>
      <c r="F255" s="58"/>
      <c r="G255" s="59"/>
      <c r="H255" s="60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58"/>
      <c r="D256" s="58"/>
      <c r="E256" s="58"/>
      <c r="F256" s="58"/>
      <c r="G256" s="59"/>
      <c r="H256" s="60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58"/>
      <c r="D257" s="58"/>
      <c r="E257" s="58"/>
      <c r="F257" s="58"/>
      <c r="G257" s="59"/>
      <c r="H257" s="60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58"/>
      <c r="D258" s="58"/>
      <c r="E258" s="58"/>
      <c r="F258" s="58"/>
      <c r="G258" s="59"/>
      <c r="H258" s="60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58"/>
      <c r="D259" s="58"/>
      <c r="E259" s="58"/>
      <c r="F259" s="58"/>
      <c r="G259" s="59"/>
      <c r="H259" s="60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58"/>
      <c r="D260" s="58"/>
      <c r="E260" s="58"/>
      <c r="F260" s="58"/>
      <c r="G260" s="59"/>
      <c r="H260" s="60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58"/>
      <c r="D261" s="58"/>
      <c r="E261" s="58"/>
      <c r="F261" s="58"/>
      <c r="G261" s="59"/>
      <c r="H261" s="60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58"/>
      <c r="D262" s="58"/>
      <c r="E262" s="58"/>
      <c r="F262" s="58"/>
      <c r="G262" s="59"/>
      <c r="H262" s="60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58"/>
      <c r="D263" s="58"/>
      <c r="E263" s="58"/>
      <c r="F263" s="58"/>
      <c r="G263" s="59"/>
      <c r="H263" s="60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58"/>
      <c r="D264" s="58"/>
      <c r="E264" s="58"/>
      <c r="F264" s="58"/>
      <c r="G264" s="59"/>
      <c r="H264" s="60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58"/>
      <c r="D265" s="58"/>
      <c r="E265" s="58"/>
      <c r="F265" s="58"/>
      <c r="G265" s="59"/>
      <c r="H265" s="60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58"/>
      <c r="F266" s="58"/>
      <c r="G266" s="59"/>
      <c r="H266" s="60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58"/>
      <c r="F267" s="58"/>
      <c r="G267" s="59"/>
      <c r="H267" s="60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58"/>
      <c r="F268" s="58"/>
      <c r="G268" s="59"/>
      <c r="H268" s="60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58"/>
      <c r="F269" s="58"/>
      <c r="G269" s="59"/>
      <c r="H269" s="60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58"/>
      <c r="F270" s="58"/>
      <c r="G270" s="59"/>
      <c r="H270" s="60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58"/>
      <c r="F271" s="58"/>
      <c r="G271" s="59"/>
      <c r="H271" s="60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58"/>
      <c r="F272" s="58"/>
      <c r="G272" s="59"/>
      <c r="H272" s="60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58"/>
      <c r="F273" s="58"/>
      <c r="G273" s="59"/>
      <c r="H273" s="60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58"/>
      <c r="F274" s="58"/>
      <c r="G274" s="59"/>
      <c r="H274" s="60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58"/>
      <c r="F275" s="58"/>
      <c r="G275" s="59"/>
      <c r="H275" s="60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58"/>
      <c r="D276" s="58"/>
      <c r="E276" s="58"/>
      <c r="F276" s="58"/>
      <c r="G276" s="59"/>
      <c r="H276" s="60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58"/>
      <c r="D277" s="58"/>
      <c r="E277" s="58"/>
      <c r="F277" s="58"/>
      <c r="G277" s="59"/>
      <c r="H277" s="60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58"/>
      <c r="D278" s="58"/>
      <c r="E278" s="58"/>
      <c r="F278" s="58"/>
      <c r="G278" s="59"/>
      <c r="H278" s="60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58"/>
      <c r="D279" s="58"/>
      <c r="E279" s="58"/>
      <c r="F279" s="58"/>
      <c r="G279" s="59"/>
      <c r="H279" s="60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58"/>
      <c r="D280" s="58"/>
      <c r="E280" s="58"/>
      <c r="F280" s="58"/>
      <c r="G280" s="59"/>
      <c r="H280" s="60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58"/>
      <c r="D281" s="58"/>
      <c r="E281" s="58"/>
      <c r="F281" s="58"/>
      <c r="G281" s="59"/>
      <c r="H281" s="60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58"/>
      <c r="D282" s="58"/>
      <c r="E282" s="58"/>
      <c r="F282" s="58"/>
      <c r="G282" s="59"/>
      <c r="H282" s="60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58"/>
      <c r="D283" s="58"/>
      <c r="E283" s="58"/>
      <c r="F283" s="58"/>
      <c r="G283" s="59"/>
      <c r="H283" s="60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58"/>
      <c r="D284" s="58"/>
      <c r="E284" s="58"/>
      <c r="F284" s="58"/>
      <c r="G284" s="59"/>
      <c r="H284" s="60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58"/>
      <c r="D285" s="58"/>
      <c r="E285" s="58"/>
      <c r="F285" s="58"/>
      <c r="G285" s="59"/>
      <c r="H285" s="60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58"/>
      <c r="D286" s="58"/>
      <c r="E286" s="58"/>
      <c r="F286" s="58"/>
      <c r="G286" s="59"/>
      <c r="H286" s="60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58"/>
      <c r="D287" s="58"/>
      <c r="E287" s="58"/>
      <c r="F287" s="58"/>
      <c r="G287" s="59"/>
      <c r="H287" s="60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58"/>
      <c r="D288" s="58"/>
      <c r="E288" s="58"/>
      <c r="F288" s="58"/>
      <c r="G288" s="59"/>
      <c r="H288" s="60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58"/>
      <c r="D289" s="58"/>
      <c r="E289" s="58"/>
      <c r="F289" s="58"/>
      <c r="G289" s="59"/>
      <c r="H289" s="60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58"/>
      <c r="D290" s="58"/>
      <c r="E290" s="58"/>
      <c r="F290" s="58"/>
      <c r="G290" s="59"/>
      <c r="H290" s="60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58"/>
      <c r="D291" s="58"/>
      <c r="E291" s="58"/>
      <c r="F291" s="58"/>
      <c r="G291" s="59"/>
      <c r="H291" s="60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58"/>
      <c r="D292" s="58"/>
      <c r="E292" s="58"/>
      <c r="F292" s="58"/>
      <c r="G292" s="59"/>
      <c r="H292" s="60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58"/>
      <c r="D293" s="58"/>
      <c r="E293" s="58"/>
      <c r="F293" s="58"/>
      <c r="G293" s="59"/>
      <c r="H293" s="60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58"/>
      <c r="D294" s="58"/>
      <c r="E294" s="58"/>
      <c r="F294" s="58"/>
      <c r="G294" s="59"/>
      <c r="H294" s="60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58"/>
      <c r="F295" s="58"/>
      <c r="G295" s="59"/>
      <c r="H295" s="60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58"/>
      <c r="F296" s="58"/>
      <c r="G296" s="59"/>
      <c r="H296" s="60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58"/>
      <c r="F297" s="58"/>
      <c r="G297" s="59"/>
      <c r="H297" s="60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58"/>
      <c r="F298" s="58"/>
      <c r="G298" s="59"/>
      <c r="H298" s="60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58"/>
      <c r="F299" s="58"/>
      <c r="G299" s="59"/>
      <c r="H299" s="60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E300" s="58"/>
      <c r="F300" s="58"/>
      <c r="G300" s="59"/>
      <c r="H300" s="60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E301" s="58"/>
      <c r="F301" s="58"/>
      <c r="G301" s="59"/>
      <c r="H301" s="60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9"/>
      <c r="H302" s="60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9"/>
      <c r="H303" s="60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9"/>
      <c r="H304" s="60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9"/>
      <c r="H305" s="60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9"/>
      <c r="H306" s="60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9"/>
      <c r="H307" s="60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9"/>
      <c r="H308" s="60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9"/>
      <c r="H309" s="60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9"/>
      <c r="H310" s="60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9"/>
      <c r="H311" s="60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9"/>
      <c r="H312" s="60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9"/>
      <c r="H313" s="60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9"/>
      <c r="H314" s="60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9"/>
      <c r="H315" s="60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9"/>
      <c r="H316" s="60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9"/>
      <c r="H317" s="60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9"/>
      <c r="H318" s="60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9"/>
      <c r="H319" s="60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9"/>
      <c r="H320" s="60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9"/>
      <c r="H321" s="60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9"/>
      <c r="H322" s="60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9"/>
      <c r="H323" s="60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9"/>
      <c r="H324" s="60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9"/>
      <c r="H325" s="60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9"/>
      <c r="H326" s="60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9"/>
      <c r="H327" s="60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9"/>
      <c r="H328" s="60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9"/>
      <c r="H329" s="60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9"/>
      <c r="H330" s="60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9"/>
      <c r="H331" s="60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9"/>
      <c r="H332" s="60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9"/>
      <c r="H333" s="60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9"/>
      <c r="H334" s="60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9"/>
      <c r="H335" s="60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9"/>
      <c r="H336" s="60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9"/>
      <c r="H337" s="60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9"/>
      <c r="H338" s="60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9"/>
      <c r="H339" s="60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9"/>
      <c r="H340" s="60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9"/>
      <c r="H341" s="60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9"/>
      <c r="H342" s="60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9"/>
      <c r="H343" s="60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9"/>
      <c r="H344" s="60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9"/>
      <c r="H345" s="60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9"/>
      <c r="H346" s="60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9"/>
      <c r="H347" s="60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9"/>
      <c r="H348" s="60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9"/>
      <c r="H349" s="60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9"/>
      <c r="H350" s="60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9"/>
      <c r="H351" s="60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9"/>
      <c r="H352" s="60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9"/>
      <c r="H353" s="60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9"/>
      <c r="H354" s="60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9"/>
      <c r="H355" s="60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9"/>
      <c r="H356" s="60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9"/>
      <c r="H357" s="60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9"/>
      <c r="H358" s="60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9"/>
      <c r="H359" s="60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9"/>
      <c r="H360" s="60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9"/>
      <c r="H361" s="60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9"/>
      <c r="H362" s="60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9"/>
      <c r="H363" s="60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9"/>
      <c r="H364" s="60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9"/>
      <c r="H365" s="60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9"/>
      <c r="H366" s="60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9"/>
      <c r="H367" s="60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9"/>
      <c r="H368" s="60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9"/>
      <c r="H369" s="60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9"/>
      <c r="H370" s="60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9"/>
      <c r="H371" s="60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9"/>
      <c r="H372" s="60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9"/>
      <c r="H373" s="60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9"/>
      <c r="H374" s="60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9"/>
      <c r="H375" s="60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9"/>
      <c r="H376" s="60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9"/>
      <c r="H377" s="60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9"/>
      <c r="H378" s="60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9"/>
      <c r="H379" s="60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9"/>
      <c r="H380" s="60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9"/>
      <c r="H381" s="60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9"/>
      <c r="H382" s="60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9"/>
      <c r="H383" s="60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9"/>
      <c r="H384" s="60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9"/>
      <c r="H385" s="60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9"/>
      <c r="H386" s="60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9"/>
      <c r="H387" s="60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9"/>
      <c r="H388" s="60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9"/>
      <c r="H389" s="60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9"/>
      <c r="H390" s="60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9"/>
      <c r="H391" s="60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9"/>
      <c r="H392" s="60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9"/>
      <c r="H393" s="60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9"/>
      <c r="H394" s="60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9"/>
      <c r="H395" s="60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9"/>
      <c r="H396" s="60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9"/>
      <c r="H397" s="60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9"/>
      <c r="H398" s="60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9"/>
      <c r="H399" s="60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9"/>
      <c r="H400" s="60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9"/>
      <c r="H401" s="60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9"/>
      <c r="H402" s="60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9"/>
      <c r="H403" s="60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9"/>
      <c r="H404" s="60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9"/>
      <c r="H405" s="60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9"/>
      <c r="H406" s="60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9"/>
      <c r="H407" s="60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9"/>
      <c r="H408" s="60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9"/>
      <c r="H409" s="60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9"/>
      <c r="H410" s="60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9"/>
      <c r="H411" s="60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9"/>
      <c r="H412" s="60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9"/>
      <c r="H413" s="60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9"/>
      <c r="H414" s="60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9"/>
      <c r="H415" s="60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9"/>
      <c r="H416" s="60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9"/>
      <c r="H417" s="60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9"/>
      <c r="H418" s="60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9"/>
      <c r="H419" s="60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9"/>
      <c r="H420" s="60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9"/>
      <c r="H421" s="60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9"/>
      <c r="H422" s="60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9"/>
      <c r="H423" s="60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9"/>
      <c r="H424" s="60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9"/>
      <c r="H425" s="60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9"/>
      <c r="H426" s="60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9"/>
      <c r="H427" s="60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9"/>
      <c r="H428" s="60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9"/>
      <c r="H429" s="60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9"/>
      <c r="H430" s="60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9"/>
      <c r="H431" s="60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9"/>
      <c r="H432" s="60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9"/>
      <c r="H433" s="60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9"/>
      <c r="H434" s="60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9"/>
      <c r="H435" s="60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9"/>
      <c r="H436" s="60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9"/>
      <c r="H437" s="60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9"/>
      <c r="H438" s="60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9"/>
      <c r="H439" s="60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9"/>
      <c r="H440" s="60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9"/>
      <c r="H441" s="60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9"/>
      <c r="H442" s="60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9"/>
      <c r="H443" s="60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9"/>
      <c r="H444" s="60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9"/>
      <c r="H445" s="60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9"/>
      <c r="H446" s="60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9"/>
      <c r="H447" s="60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9"/>
      <c r="H448" s="60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9"/>
      <c r="H449" s="60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9"/>
      <c r="H450" s="60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9"/>
      <c r="H451" s="60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9"/>
      <c r="H452" s="60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9"/>
      <c r="H453" s="60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9"/>
      <c r="H454" s="60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9"/>
      <c r="H455" s="60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9"/>
      <c r="H456" s="60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9"/>
      <c r="H457" s="60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9"/>
      <c r="H458" s="60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9"/>
      <c r="H459" s="60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9"/>
      <c r="H460" s="60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9"/>
      <c r="H461" s="60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9"/>
      <c r="H462" s="60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9"/>
      <c r="H463" s="60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9"/>
      <c r="H464" s="60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9"/>
      <c r="H465" s="60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9"/>
      <c r="H466" s="60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9"/>
      <c r="H467" s="60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9"/>
      <c r="H468" s="60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9"/>
      <c r="H469" s="60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9"/>
      <c r="H470" s="60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9"/>
      <c r="H471" s="60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9"/>
      <c r="H472" s="60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9"/>
      <c r="H473" s="60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9"/>
      <c r="H474" s="60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9"/>
      <c r="H475" s="60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9"/>
      <c r="H476" s="60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9"/>
      <c r="H477" s="60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9"/>
      <c r="H478" s="60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9"/>
      <c r="H479" s="60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9"/>
      <c r="H480" s="60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9"/>
      <c r="H481" s="60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9"/>
      <c r="H482" s="60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9"/>
      <c r="H483" s="60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9"/>
      <c r="H484" s="60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9"/>
      <c r="H485" s="60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9"/>
      <c r="H486" s="60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9"/>
      <c r="H487" s="60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9"/>
      <c r="H488" s="60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9"/>
      <c r="H489" s="60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9"/>
      <c r="H490" s="60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9"/>
      <c r="H491" s="60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9"/>
      <c r="H492" s="60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9"/>
      <c r="H493" s="60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9"/>
      <c r="H494" s="60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9"/>
      <c r="H495" s="60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9"/>
      <c r="H496" s="60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9"/>
      <c r="H497" s="60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9"/>
      <c r="H498" s="60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9"/>
      <c r="H499" s="60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9"/>
      <c r="H500" s="60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9"/>
      <c r="H501" s="60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9"/>
      <c r="H502" s="60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9"/>
      <c r="H503" s="60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9"/>
      <c r="H504" s="60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9"/>
      <c r="H505" s="60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9"/>
      <c r="H506" s="60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9"/>
      <c r="H507" s="60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9"/>
      <c r="H508" s="60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9"/>
      <c r="H509" s="60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9"/>
      <c r="H510" s="60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9"/>
      <c r="H511" s="60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9"/>
      <c r="H512" s="60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9"/>
      <c r="H513" s="60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9"/>
      <c r="H514" s="60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9"/>
      <c r="H515" s="60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9"/>
      <c r="H516" s="60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9"/>
      <c r="H517" s="60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9"/>
      <c r="H518" s="60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9"/>
      <c r="H519" s="60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9"/>
      <c r="H520" s="60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9"/>
      <c r="H521" s="60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9"/>
      <c r="H522" s="60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9"/>
      <c r="H523" s="60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9"/>
      <c r="H524" s="60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9"/>
      <c r="H525" s="60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9"/>
      <c r="H526" s="60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9"/>
      <c r="H527" s="60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9"/>
      <c r="H528" s="60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9"/>
      <c r="H529" s="60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9"/>
      <c r="H530" s="60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9"/>
      <c r="H531" s="60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9"/>
      <c r="H532" s="60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9"/>
      <c r="H533" s="60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9"/>
      <c r="H534" s="60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9"/>
      <c r="H535" s="60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9"/>
      <c r="H536" s="60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9"/>
      <c r="H537" s="60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9"/>
      <c r="H538" s="60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9"/>
      <c r="H539" s="60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9"/>
      <c r="H540" s="60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9"/>
      <c r="H541" s="60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9"/>
      <c r="H542" s="60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9"/>
      <c r="H543" s="60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9"/>
      <c r="H544" s="60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9"/>
      <c r="H545" s="60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9"/>
      <c r="H546" s="60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9"/>
      <c r="H547" s="60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9"/>
      <c r="H548" s="60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9"/>
      <c r="H549" s="60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9"/>
      <c r="H550" s="60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9"/>
      <c r="H551" s="60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9"/>
      <c r="H552" s="60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9"/>
      <c r="H553" s="60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9"/>
      <c r="H554" s="60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9"/>
      <c r="H555" s="60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9"/>
      <c r="H556" s="60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9"/>
      <c r="H557" s="60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9"/>
      <c r="H558" s="60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9"/>
      <c r="H559" s="60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9"/>
      <c r="H560" s="60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9"/>
      <c r="H561" s="60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9"/>
      <c r="H562" s="60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9"/>
      <c r="H563" s="60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9"/>
      <c r="H564" s="60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9"/>
      <c r="H565" s="60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9"/>
      <c r="H566" s="60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9"/>
      <c r="H567" s="60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9"/>
      <c r="H568" s="60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9"/>
      <c r="H569" s="60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9"/>
      <c r="H570" s="60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9"/>
      <c r="H571" s="60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9"/>
      <c r="H572" s="60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9"/>
      <c r="H573" s="60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9"/>
      <c r="H574" s="60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9"/>
      <c r="H575" s="60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9"/>
      <c r="H576" s="60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9"/>
      <c r="H577" s="60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9"/>
      <c r="H578" s="60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9"/>
      <c r="H579" s="60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9"/>
      <c r="H580" s="60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9"/>
      <c r="H581" s="60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9"/>
      <c r="H582" s="60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9"/>
      <c r="H583" s="60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9"/>
      <c r="H584" s="60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9"/>
      <c r="H585" s="60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9"/>
      <c r="H586" s="60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9"/>
      <c r="H587" s="60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9"/>
      <c r="H588" s="60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9"/>
      <c r="H589" s="60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9"/>
      <c r="H590" s="60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9"/>
      <c r="H591" s="60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9"/>
      <c r="H592" s="60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9"/>
      <c r="H593" s="60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9"/>
      <c r="H594" s="60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9"/>
      <c r="H595" s="60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9"/>
      <c r="H596" s="60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9"/>
      <c r="H597" s="60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9"/>
      <c r="H598" s="60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9"/>
      <c r="H599" s="60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9"/>
      <c r="H600" s="60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9"/>
      <c r="H601" s="60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9"/>
      <c r="H602" s="60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9"/>
      <c r="H603" s="60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9"/>
      <c r="H604" s="60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9"/>
      <c r="H605" s="60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9"/>
      <c r="H606" s="60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9"/>
      <c r="H607" s="60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9"/>
      <c r="H608" s="60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9"/>
      <c r="H609" s="60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9"/>
      <c r="H610" s="60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9"/>
      <c r="H611" s="60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9"/>
      <c r="H612" s="60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9"/>
      <c r="H613" s="60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9"/>
      <c r="H614" s="60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9"/>
      <c r="H615" s="60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9"/>
      <c r="H616" s="60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9"/>
      <c r="H617" s="60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9"/>
      <c r="H618" s="60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9"/>
      <c r="H619" s="60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9"/>
      <c r="H620" s="60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9"/>
      <c r="H621" s="60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9"/>
      <c r="H622" s="60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9"/>
      <c r="H623" s="60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9"/>
      <c r="H624" s="60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9"/>
      <c r="H625" s="60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9"/>
      <c r="H626" s="60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9"/>
      <c r="H627" s="60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9"/>
      <c r="H628" s="60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9"/>
      <c r="H629" s="60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9"/>
      <c r="H630" s="60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9"/>
      <c r="H631" s="60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9"/>
      <c r="H632" s="60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9"/>
      <c r="H633" s="60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9"/>
      <c r="H634" s="60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9"/>
      <c r="H635" s="60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9"/>
      <c r="H636" s="60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9"/>
      <c r="H637" s="60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9"/>
      <c r="H638" s="60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9"/>
      <c r="H639" s="60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9"/>
      <c r="H640" s="60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9"/>
      <c r="H641" s="60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9"/>
      <c r="H642" s="60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9"/>
      <c r="H643" s="60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9"/>
      <c r="H644" s="60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9"/>
      <c r="H645" s="60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9"/>
      <c r="H646" s="60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9"/>
      <c r="H647" s="60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9"/>
      <c r="H648" s="60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9"/>
      <c r="H649" s="60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9"/>
      <c r="H650" s="60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9"/>
      <c r="H651" s="60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9"/>
      <c r="H652" s="60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9"/>
      <c r="H653" s="60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9"/>
      <c r="H654" s="60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9"/>
      <c r="H655" s="60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9"/>
      <c r="H656" s="60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9"/>
      <c r="H657" s="60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9"/>
      <c r="H658" s="60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9"/>
      <c r="H659" s="60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9"/>
      <c r="H660" s="60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9"/>
      <c r="H661" s="60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9"/>
      <c r="H662" s="60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9"/>
      <c r="H663" s="60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9"/>
      <c r="H664" s="60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9"/>
      <c r="H665" s="60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9"/>
      <c r="H666" s="60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9"/>
      <c r="H667" s="60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9"/>
      <c r="H668" s="60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9"/>
      <c r="H669" s="60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9"/>
      <c r="H670" s="60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9"/>
      <c r="H671" s="60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9"/>
      <c r="H672" s="60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9"/>
      <c r="H673" s="60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9"/>
      <c r="H674" s="60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9"/>
      <c r="H675" s="60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9"/>
      <c r="H676" s="60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9"/>
      <c r="H677" s="60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9"/>
      <c r="H678" s="60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9"/>
      <c r="H679" s="60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9"/>
      <c r="H680" s="60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9"/>
      <c r="H681" s="60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9"/>
      <c r="H682" s="60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9"/>
      <c r="H683" s="60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9"/>
      <c r="H684" s="60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9"/>
      <c r="H685" s="60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9"/>
      <c r="H686" s="60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9"/>
      <c r="H687" s="60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9"/>
      <c r="H688" s="60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9"/>
      <c r="H689" s="60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9"/>
      <c r="H690" s="60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9"/>
      <c r="H691" s="60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9"/>
      <c r="H692" s="60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9"/>
      <c r="H693" s="60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9"/>
      <c r="H694" s="60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9"/>
      <c r="H695" s="60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9"/>
      <c r="H696" s="60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9"/>
      <c r="H697" s="60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9"/>
      <c r="H698" s="60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9"/>
      <c r="H699" s="60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9"/>
      <c r="H700" s="60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9"/>
      <c r="H701" s="60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9"/>
      <c r="H702" s="60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9"/>
      <c r="H703" s="60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9"/>
      <c r="H704" s="60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9"/>
      <c r="H705" s="60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9"/>
      <c r="H706" s="60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9"/>
      <c r="H707" s="60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9"/>
      <c r="H708" s="60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9"/>
      <c r="H709" s="60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9"/>
      <c r="H710" s="60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9"/>
      <c r="H711" s="60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9"/>
      <c r="H712" s="60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9"/>
      <c r="H713" s="60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9"/>
      <c r="H714" s="60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9"/>
      <c r="H715" s="60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9"/>
      <c r="H716" s="60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9"/>
      <c r="H717" s="60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9"/>
      <c r="H718" s="60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9"/>
      <c r="H719" s="60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9"/>
      <c r="H720" s="60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9"/>
      <c r="H721" s="60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9"/>
      <c r="H722" s="60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9"/>
      <c r="H723" s="60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9"/>
      <c r="H724" s="60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9"/>
      <c r="H725" s="60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9"/>
      <c r="H726" s="60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9"/>
      <c r="H727" s="60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9"/>
      <c r="H728" s="60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9"/>
      <c r="H729" s="60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9"/>
      <c r="H730" s="60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9"/>
      <c r="H731" s="60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9"/>
      <c r="H732" s="60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9"/>
      <c r="H733" s="60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9"/>
      <c r="H734" s="60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9"/>
      <c r="H735" s="60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9"/>
      <c r="H736" s="60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9"/>
      <c r="H737" s="60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9"/>
      <c r="H738" s="60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9"/>
      <c r="H739" s="60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9"/>
      <c r="H740" s="60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9"/>
      <c r="H741" s="60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9"/>
      <c r="H742" s="60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9"/>
      <c r="H743" s="60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9"/>
      <c r="H744" s="60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9"/>
      <c r="H745" s="60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9"/>
      <c r="H746" s="60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9"/>
      <c r="H747" s="60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9"/>
      <c r="H748" s="60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9"/>
      <c r="H749" s="60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9"/>
      <c r="H750" s="60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9"/>
      <c r="H751" s="60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9"/>
      <c r="H752" s="60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9"/>
      <c r="H753" s="60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9"/>
      <c r="H754" s="60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9"/>
      <c r="H755" s="60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9"/>
      <c r="H756" s="60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9"/>
      <c r="H757" s="60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9"/>
      <c r="H758" s="60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9"/>
      <c r="H759" s="60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9"/>
      <c r="H760" s="60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9"/>
      <c r="H761" s="60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9"/>
      <c r="H762" s="60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9"/>
      <c r="H763" s="60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9"/>
      <c r="H764" s="60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9"/>
      <c r="H765" s="60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9"/>
      <c r="H766" s="60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9"/>
      <c r="H767" s="60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9"/>
      <c r="H768" s="60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9"/>
      <c r="H769" s="60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9"/>
      <c r="H770" s="60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9"/>
      <c r="H771" s="60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9"/>
      <c r="H772" s="60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9"/>
      <c r="H773" s="60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9"/>
      <c r="H774" s="60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9"/>
      <c r="H775" s="60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9"/>
      <c r="H776" s="60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9"/>
      <c r="H777" s="60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9"/>
      <c r="H778" s="60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9"/>
      <c r="H779" s="60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9"/>
      <c r="H780" s="60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9"/>
      <c r="H781" s="60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9"/>
      <c r="H782" s="60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9"/>
      <c r="H783" s="60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9"/>
      <c r="H784" s="60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9"/>
      <c r="H785" s="60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9"/>
      <c r="H786" s="60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9"/>
      <c r="H787" s="60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9"/>
      <c r="H788" s="60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9"/>
      <c r="H789" s="60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9"/>
      <c r="H790" s="60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9"/>
      <c r="H791" s="60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9"/>
      <c r="H792" s="60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9"/>
      <c r="H793" s="60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9"/>
      <c r="H794" s="60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9"/>
      <c r="H795" s="60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9"/>
      <c r="H796" s="60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9"/>
      <c r="H797" s="60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9"/>
      <c r="H798" s="60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9"/>
      <c r="H799" s="60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9"/>
      <c r="H800" s="60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9"/>
      <c r="H801" s="60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9"/>
      <c r="H802" s="60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9"/>
      <c r="H803" s="60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9"/>
      <c r="H804" s="60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9"/>
      <c r="H805" s="60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9"/>
      <c r="H806" s="60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9"/>
      <c r="H807" s="60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9"/>
      <c r="H808" s="60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9"/>
      <c r="H809" s="60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9"/>
      <c r="H810" s="60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9"/>
      <c r="H811" s="60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9"/>
      <c r="H812" s="60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9"/>
      <c r="H813" s="60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9"/>
      <c r="H814" s="60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9"/>
      <c r="H815" s="60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9"/>
      <c r="H816" s="60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9"/>
      <c r="H817" s="60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9"/>
      <c r="H818" s="60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9"/>
      <c r="H819" s="60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9"/>
      <c r="H820" s="60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9"/>
      <c r="H821" s="60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9"/>
      <c r="H822" s="60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9"/>
      <c r="H823" s="60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9"/>
      <c r="H824" s="60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9"/>
      <c r="H825" s="60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9"/>
      <c r="H826" s="60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9"/>
      <c r="H827" s="60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9"/>
      <c r="H828" s="60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9"/>
      <c r="H829" s="60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9"/>
      <c r="H830" s="60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9"/>
      <c r="H831" s="60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9"/>
      <c r="H832" s="60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9"/>
      <c r="H833" s="60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9"/>
      <c r="H834" s="60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9"/>
      <c r="H835" s="60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9"/>
      <c r="H836" s="60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9"/>
      <c r="H837" s="60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9"/>
      <c r="H838" s="60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9"/>
      <c r="H839" s="60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9"/>
      <c r="H840" s="60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9"/>
      <c r="H841" s="60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9"/>
      <c r="H842" s="60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9"/>
      <c r="H843" s="60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9"/>
      <c r="H844" s="60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9"/>
      <c r="H845" s="60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9"/>
      <c r="H846" s="60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9"/>
      <c r="H847" s="60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9"/>
      <c r="H848" s="60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9"/>
      <c r="H849" s="60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9"/>
      <c r="H850" s="60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9"/>
      <c r="H851" s="60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9"/>
      <c r="H852" s="60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9"/>
      <c r="H853" s="60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9"/>
      <c r="H854" s="60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9"/>
      <c r="H855" s="60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9"/>
      <c r="H856" s="60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9"/>
      <c r="H857" s="60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9"/>
      <c r="H858" s="60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9"/>
      <c r="H859" s="60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9"/>
      <c r="H860" s="60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9"/>
      <c r="H861" s="60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9"/>
      <c r="H862" s="60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9"/>
      <c r="H863" s="60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9"/>
      <c r="H864" s="60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9"/>
      <c r="H865" s="60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9"/>
      <c r="H866" s="60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9"/>
      <c r="H867" s="60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9"/>
      <c r="H868" s="60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9"/>
      <c r="H869" s="60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9"/>
      <c r="H870" s="60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9"/>
      <c r="H871" s="60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9"/>
      <c r="H872" s="60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9"/>
      <c r="H873" s="60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9"/>
      <c r="H874" s="60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9"/>
      <c r="H875" s="60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9"/>
      <c r="H876" s="60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9"/>
      <c r="H877" s="60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9"/>
      <c r="H878" s="60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9"/>
      <c r="H879" s="60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9"/>
      <c r="H880" s="60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9"/>
      <c r="H881" s="60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9"/>
      <c r="H882" s="60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9"/>
      <c r="H883" s="60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9"/>
      <c r="H884" s="60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9"/>
      <c r="H885" s="60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9"/>
      <c r="H886" s="60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9"/>
      <c r="H887" s="60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9"/>
      <c r="H888" s="60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9"/>
      <c r="H889" s="60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9"/>
      <c r="H890" s="60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9"/>
      <c r="H891" s="60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9"/>
      <c r="H892" s="60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9"/>
      <c r="H893" s="60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9"/>
      <c r="H894" s="60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9"/>
      <c r="H895" s="60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9"/>
      <c r="H896" s="60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9"/>
      <c r="H897" s="60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9"/>
      <c r="H898" s="60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9"/>
      <c r="H899" s="60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9"/>
      <c r="H900" s="60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9"/>
      <c r="H901" s="60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9"/>
      <c r="H902" s="60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9"/>
      <c r="H903" s="60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9"/>
      <c r="H904" s="60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9"/>
      <c r="H905" s="60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9"/>
      <c r="H906" s="60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9"/>
      <c r="H907" s="60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9"/>
      <c r="H908" s="60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9"/>
      <c r="H909" s="60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9"/>
      <c r="H910" s="60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9"/>
      <c r="H911" s="60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9"/>
      <c r="H912" s="60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9"/>
      <c r="H913" s="60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9"/>
      <c r="H914" s="60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9"/>
      <c r="H915" s="60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9"/>
      <c r="H916" s="60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9"/>
      <c r="H917" s="60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9"/>
      <c r="H918" s="60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9"/>
      <c r="H919" s="60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9"/>
      <c r="H920" s="60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9"/>
      <c r="H921" s="60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9"/>
      <c r="H922" s="60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9"/>
      <c r="H923" s="60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9"/>
      <c r="H924" s="60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9"/>
      <c r="H925" s="60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9"/>
      <c r="H926" s="60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9"/>
      <c r="H927" s="60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9"/>
      <c r="H928" s="60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9"/>
      <c r="H929" s="60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9"/>
      <c r="H930" s="60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9"/>
      <c r="H931" s="60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9"/>
      <c r="H932" s="60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9"/>
      <c r="H933" s="60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9"/>
      <c r="H934" s="60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9"/>
      <c r="H935" s="60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9"/>
      <c r="H936" s="60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9"/>
      <c r="H937" s="60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9"/>
      <c r="H938" s="60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9"/>
      <c r="H939" s="60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9"/>
      <c r="H940" s="60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9"/>
      <c r="H941" s="60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9"/>
      <c r="H942" s="60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9"/>
      <c r="H943" s="60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9"/>
      <c r="H944" s="60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9"/>
      <c r="H945" s="60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9"/>
      <c r="H946" s="60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9"/>
      <c r="H947" s="60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9"/>
      <c r="H948" s="60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9"/>
      <c r="H949" s="60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9"/>
      <c r="H950" s="60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9"/>
      <c r="H951" s="60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9"/>
      <c r="H952" s="60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9"/>
      <c r="H953" s="60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9"/>
      <c r="H954" s="60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9"/>
      <c r="H955" s="60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9"/>
      <c r="H956" s="60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9"/>
      <c r="H957" s="60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9"/>
      <c r="H958" s="60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9"/>
      <c r="H959" s="60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9"/>
      <c r="H960" s="60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9"/>
      <c r="H961" s="60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9"/>
      <c r="H962" s="60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9"/>
      <c r="H963" s="60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9"/>
      <c r="H964" s="60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9"/>
      <c r="H965" s="60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9"/>
      <c r="H966" s="60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9"/>
      <c r="H967" s="60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9"/>
      <c r="H968" s="60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9"/>
      <c r="H969" s="60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9"/>
      <c r="H970" s="60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9"/>
      <c r="H971" s="60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9"/>
      <c r="H972" s="60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9"/>
      <c r="H973" s="60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9"/>
      <c r="H974" s="60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9"/>
      <c r="H975" s="60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9"/>
      <c r="H976" s="60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9"/>
      <c r="H977" s="60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9"/>
      <c r="H978" s="60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9"/>
      <c r="H979" s="60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9"/>
      <c r="H980" s="60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9"/>
      <c r="H981" s="60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9"/>
      <c r="H982" s="60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9"/>
      <c r="H983" s="60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9"/>
      <c r="H984" s="60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9"/>
      <c r="H985" s="60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9"/>
      <c r="H986" s="60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9"/>
      <c r="H987" s="60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9"/>
      <c r="H988" s="60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9"/>
      <c r="H989" s="60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9"/>
      <c r="H990" s="60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</sheetData>
  <autoFilter ref="$A$1:$Q$2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75"/>
    <col customWidth="1" min="4" max="4" width="20.5"/>
    <col customWidth="1" min="6" max="6" width="52.63"/>
    <col customWidth="1" min="7" max="7" width="22.0"/>
    <col customWidth="1" min="8" max="8" width="22.25"/>
    <col customWidth="1" min="9" max="9" width="16.63"/>
  </cols>
  <sheetData>
    <row r="1">
      <c r="A1" s="182" t="s">
        <v>457</v>
      </c>
      <c r="B1" s="183" t="s">
        <v>458</v>
      </c>
      <c r="C1" s="183" t="s">
        <v>459</v>
      </c>
      <c r="D1" s="183" t="s">
        <v>460</v>
      </c>
      <c r="E1" s="183" t="s">
        <v>461</v>
      </c>
      <c r="F1" s="183" t="s">
        <v>462</v>
      </c>
      <c r="G1" s="216" t="s">
        <v>517</v>
      </c>
      <c r="H1" s="216" t="s">
        <v>518</v>
      </c>
      <c r="I1" s="217" t="s">
        <v>519</v>
      </c>
    </row>
    <row r="2">
      <c r="A2" s="198" t="s">
        <v>493</v>
      </c>
      <c r="B2" s="204" t="s">
        <v>520</v>
      </c>
      <c r="C2" s="186" t="s">
        <v>251</v>
      </c>
      <c r="D2" s="186" t="s">
        <v>494</v>
      </c>
      <c r="E2" s="189" t="s">
        <v>33</v>
      </c>
      <c r="F2" s="186" t="s">
        <v>276</v>
      </c>
      <c r="G2" s="198" t="s">
        <v>463</v>
      </c>
      <c r="H2" s="186" t="s">
        <v>521</v>
      </c>
      <c r="I2" s="218">
        <f>'CC2'!E10</f>
        <v>313997413.5</v>
      </c>
    </row>
    <row r="3">
      <c r="A3" s="198" t="s">
        <v>493</v>
      </c>
      <c r="B3" s="204" t="s">
        <v>520</v>
      </c>
      <c r="C3" s="186" t="s">
        <v>251</v>
      </c>
      <c r="D3" s="186" t="s">
        <v>494</v>
      </c>
      <c r="E3" s="189" t="s">
        <v>33</v>
      </c>
      <c r="F3" s="186" t="s">
        <v>276</v>
      </c>
      <c r="G3" s="198" t="s">
        <v>464</v>
      </c>
      <c r="H3" s="186" t="s">
        <v>521</v>
      </c>
      <c r="I3" s="218">
        <f>'CC2'!F10</f>
        <v>313997413.5</v>
      </c>
    </row>
    <row r="4">
      <c r="A4" s="198" t="s">
        <v>493</v>
      </c>
      <c r="B4" s="204" t="s">
        <v>520</v>
      </c>
      <c r="C4" s="186" t="s">
        <v>251</v>
      </c>
      <c r="D4" s="186" t="s">
        <v>494</v>
      </c>
      <c r="E4" s="189" t="s">
        <v>33</v>
      </c>
      <c r="F4" s="186" t="s">
        <v>276</v>
      </c>
      <c r="G4" s="198" t="s">
        <v>463</v>
      </c>
      <c r="H4" s="186" t="s">
        <v>261</v>
      </c>
      <c r="I4" s="218">
        <f>'CC2'!E12</f>
        <v>20058591809</v>
      </c>
    </row>
    <row r="5">
      <c r="A5" s="198" t="s">
        <v>493</v>
      </c>
      <c r="B5" s="204" t="s">
        <v>520</v>
      </c>
      <c r="C5" s="186" t="s">
        <v>251</v>
      </c>
      <c r="D5" s="186" t="s">
        <v>494</v>
      </c>
      <c r="E5" s="189" t="s">
        <v>33</v>
      </c>
      <c r="F5" s="186" t="s">
        <v>276</v>
      </c>
      <c r="G5" s="198" t="s">
        <v>464</v>
      </c>
      <c r="H5" s="186" t="s">
        <v>261</v>
      </c>
      <c r="I5" s="218">
        <f>'CC2'!F12</f>
        <v>20058591809</v>
      </c>
    </row>
    <row r="6">
      <c r="A6" s="198" t="s">
        <v>493</v>
      </c>
      <c r="B6" s="204" t="s">
        <v>520</v>
      </c>
      <c r="C6" s="198" t="s">
        <v>251</v>
      </c>
      <c r="D6" s="186" t="s">
        <v>494</v>
      </c>
      <c r="E6" s="189" t="s">
        <v>33</v>
      </c>
      <c r="F6" s="186" t="s">
        <v>276</v>
      </c>
      <c r="G6" s="198" t="s">
        <v>463</v>
      </c>
      <c r="H6" s="186" t="s">
        <v>275</v>
      </c>
      <c r="I6" s="218">
        <f>'CC2'!E26</f>
        <v>7047363175</v>
      </c>
    </row>
    <row r="7">
      <c r="A7" s="198" t="s">
        <v>493</v>
      </c>
      <c r="B7" s="204" t="s">
        <v>520</v>
      </c>
      <c r="C7" s="198" t="s">
        <v>251</v>
      </c>
      <c r="D7" s="186" t="s">
        <v>494</v>
      </c>
      <c r="E7" s="189" t="s">
        <v>33</v>
      </c>
      <c r="F7" s="186" t="s">
        <v>276</v>
      </c>
      <c r="G7" s="198" t="s">
        <v>464</v>
      </c>
      <c r="H7" s="186" t="s">
        <v>275</v>
      </c>
      <c r="I7" s="219">
        <f>'CC2'!F26</f>
        <v>7047363175</v>
      </c>
    </row>
    <row r="8">
      <c r="A8" s="198" t="s">
        <v>493</v>
      </c>
      <c r="B8" s="204" t="s">
        <v>520</v>
      </c>
      <c r="C8" s="198" t="s">
        <v>251</v>
      </c>
      <c r="D8" s="186" t="s">
        <v>494</v>
      </c>
      <c r="E8" s="189" t="s">
        <v>33</v>
      </c>
      <c r="F8" s="186" t="s">
        <v>276</v>
      </c>
      <c r="G8" s="198" t="s">
        <v>463</v>
      </c>
      <c r="H8" s="186" t="s">
        <v>522</v>
      </c>
      <c r="I8" s="219" t="str">
        <f>'CC2'!E19</f>
        <v>-</v>
      </c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</row>
    <row r="9">
      <c r="A9" s="198" t="s">
        <v>493</v>
      </c>
      <c r="B9" s="204" t="s">
        <v>520</v>
      </c>
      <c r="C9" s="198" t="s">
        <v>251</v>
      </c>
      <c r="D9" s="186" t="s">
        <v>494</v>
      </c>
      <c r="E9" s="189" t="s">
        <v>33</v>
      </c>
      <c r="F9" s="186" t="s">
        <v>276</v>
      </c>
      <c r="G9" s="198" t="s">
        <v>464</v>
      </c>
      <c r="H9" s="186" t="s">
        <v>522</v>
      </c>
      <c r="I9" s="219" t="str">
        <f>'CC2'!F19</f>
        <v>-</v>
      </c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</row>
    <row r="10">
      <c r="A10" s="221" t="s">
        <v>493</v>
      </c>
      <c r="B10" s="204" t="s">
        <v>520</v>
      </c>
      <c r="C10" s="221" t="s">
        <v>251</v>
      </c>
      <c r="D10" s="222" t="s">
        <v>494</v>
      </c>
      <c r="E10" s="223" t="s">
        <v>33</v>
      </c>
      <c r="F10" s="222" t="s">
        <v>276</v>
      </c>
      <c r="G10" s="221" t="s">
        <v>463</v>
      </c>
      <c r="H10" s="222" t="s">
        <v>523</v>
      </c>
      <c r="I10" s="219" t="str">
        <f>'CC2'!E20</f>
        <v>-</v>
      </c>
    </row>
    <row r="11">
      <c r="A11" s="221" t="s">
        <v>493</v>
      </c>
      <c r="B11" s="204" t="s">
        <v>520</v>
      </c>
      <c r="C11" s="221" t="s">
        <v>251</v>
      </c>
      <c r="D11" s="222" t="s">
        <v>494</v>
      </c>
      <c r="E11" s="223" t="s">
        <v>33</v>
      </c>
      <c r="F11" s="222" t="s">
        <v>276</v>
      </c>
      <c r="G11" s="221" t="s">
        <v>464</v>
      </c>
      <c r="H11" s="222" t="s">
        <v>523</v>
      </c>
      <c r="I11" s="219" t="str">
        <f>'CC2'!F20</f>
        <v>-</v>
      </c>
    </row>
    <row r="12">
      <c r="A12" s="221" t="s">
        <v>493</v>
      </c>
      <c r="B12" s="204" t="s">
        <v>520</v>
      </c>
      <c r="C12" s="221" t="s">
        <v>251</v>
      </c>
      <c r="D12" s="222" t="s">
        <v>494</v>
      </c>
      <c r="E12" s="223" t="s">
        <v>33</v>
      </c>
      <c r="F12" s="222" t="s">
        <v>276</v>
      </c>
      <c r="G12" s="221" t="s">
        <v>463</v>
      </c>
      <c r="H12" s="222" t="s">
        <v>524</v>
      </c>
      <c r="I12" s="219">
        <f>'CC2'!E21</f>
        <v>106097763.6</v>
      </c>
    </row>
    <row r="13">
      <c r="A13" s="221" t="s">
        <v>493</v>
      </c>
      <c r="B13" s="204" t="s">
        <v>520</v>
      </c>
      <c r="C13" s="221" t="s">
        <v>251</v>
      </c>
      <c r="D13" s="222" t="s">
        <v>494</v>
      </c>
      <c r="E13" s="223" t="s">
        <v>33</v>
      </c>
      <c r="F13" s="222" t="s">
        <v>276</v>
      </c>
      <c r="G13" s="221" t="s">
        <v>464</v>
      </c>
      <c r="H13" s="222" t="s">
        <v>524</v>
      </c>
      <c r="I13" s="219">
        <f>'CC2'!F21</f>
        <v>106097763.6</v>
      </c>
    </row>
    <row r="14">
      <c r="A14" s="221" t="s">
        <v>493</v>
      </c>
      <c r="B14" s="204" t="s">
        <v>520</v>
      </c>
      <c r="C14" s="221" t="s">
        <v>251</v>
      </c>
      <c r="D14" s="222" t="s">
        <v>494</v>
      </c>
      <c r="E14" s="223" t="s">
        <v>33</v>
      </c>
      <c r="F14" s="222" t="s">
        <v>276</v>
      </c>
      <c r="G14" s="221" t="s">
        <v>463</v>
      </c>
      <c r="H14" s="222" t="s">
        <v>264</v>
      </c>
      <c r="I14" s="219">
        <f>'CC2'!E17</f>
        <v>2282926592</v>
      </c>
    </row>
    <row r="15">
      <c r="A15" s="221" t="s">
        <v>493</v>
      </c>
      <c r="B15" s="204" t="s">
        <v>520</v>
      </c>
      <c r="C15" s="221" t="s">
        <v>251</v>
      </c>
      <c r="D15" s="222" t="s">
        <v>494</v>
      </c>
      <c r="E15" s="223" t="s">
        <v>33</v>
      </c>
      <c r="F15" s="222" t="s">
        <v>276</v>
      </c>
      <c r="G15" s="221" t="s">
        <v>464</v>
      </c>
      <c r="H15" s="222" t="s">
        <v>264</v>
      </c>
      <c r="I15" s="219">
        <f>'CC2'!F17</f>
        <v>2282926592</v>
      </c>
    </row>
    <row r="16">
      <c r="A16" s="221" t="s">
        <v>493</v>
      </c>
      <c r="B16" s="204" t="s">
        <v>520</v>
      </c>
      <c r="C16" s="221" t="s">
        <v>251</v>
      </c>
      <c r="D16" s="222" t="s">
        <v>494</v>
      </c>
      <c r="E16" s="223" t="s">
        <v>33</v>
      </c>
      <c r="F16" s="222" t="s">
        <v>276</v>
      </c>
      <c r="G16" s="221" t="s">
        <v>463</v>
      </c>
      <c r="H16" s="222" t="s">
        <v>525</v>
      </c>
      <c r="I16" s="219" t="str">
        <f>'CC2'!E16</f>
        <v>-</v>
      </c>
    </row>
    <row r="17">
      <c r="A17" s="221" t="s">
        <v>493</v>
      </c>
      <c r="B17" s="204" t="s">
        <v>520</v>
      </c>
      <c r="C17" s="221" t="s">
        <v>251</v>
      </c>
      <c r="D17" s="222" t="s">
        <v>494</v>
      </c>
      <c r="E17" s="223" t="s">
        <v>33</v>
      </c>
      <c r="F17" s="222" t="s">
        <v>276</v>
      </c>
      <c r="G17" s="221" t="s">
        <v>464</v>
      </c>
      <c r="H17" s="222" t="s">
        <v>525</v>
      </c>
      <c r="I17" s="219" t="str">
        <f>'CC2'!F16</f>
        <v>-</v>
      </c>
    </row>
    <row r="18">
      <c r="A18" s="221" t="s">
        <v>493</v>
      </c>
      <c r="B18" s="204" t="s">
        <v>520</v>
      </c>
      <c r="C18" s="221" t="s">
        <v>251</v>
      </c>
      <c r="D18" s="222" t="s">
        <v>496</v>
      </c>
      <c r="E18" s="223" t="s">
        <v>49</v>
      </c>
      <c r="F18" s="222" t="s">
        <v>283</v>
      </c>
      <c r="G18" s="221" t="s">
        <v>463</v>
      </c>
      <c r="H18" s="222" t="s">
        <v>282</v>
      </c>
      <c r="I18" s="219">
        <f>'CC2'!E34</f>
        <v>7378034244</v>
      </c>
    </row>
    <row r="19">
      <c r="A19" s="221" t="s">
        <v>493</v>
      </c>
      <c r="B19" s="204" t="s">
        <v>520</v>
      </c>
      <c r="C19" s="221" t="s">
        <v>251</v>
      </c>
      <c r="D19" s="222" t="s">
        <v>496</v>
      </c>
      <c r="E19" s="223" t="s">
        <v>49</v>
      </c>
      <c r="F19" s="222" t="s">
        <v>283</v>
      </c>
      <c r="G19" s="221" t="s">
        <v>464</v>
      </c>
      <c r="H19" s="222" t="s">
        <v>282</v>
      </c>
      <c r="I19" s="219">
        <f>'CC2'!F34</f>
        <v>7378034244</v>
      </c>
    </row>
    <row r="20">
      <c r="A20" s="221" t="s">
        <v>493</v>
      </c>
      <c r="B20" s="204" t="s">
        <v>520</v>
      </c>
      <c r="C20" s="221" t="s">
        <v>251</v>
      </c>
      <c r="D20" s="222" t="s">
        <v>496</v>
      </c>
      <c r="E20" s="223" t="s">
        <v>49</v>
      </c>
      <c r="F20" s="222" t="s">
        <v>283</v>
      </c>
      <c r="G20" s="221" t="s">
        <v>463</v>
      </c>
      <c r="H20" s="222" t="s">
        <v>526</v>
      </c>
      <c r="I20" s="219">
        <f>'CC2'!E33</f>
        <v>28991690.2</v>
      </c>
    </row>
    <row r="21">
      <c r="A21" s="221" t="s">
        <v>493</v>
      </c>
      <c r="B21" s="204" t="s">
        <v>520</v>
      </c>
      <c r="C21" s="221" t="s">
        <v>251</v>
      </c>
      <c r="D21" s="222" t="s">
        <v>496</v>
      </c>
      <c r="E21" s="223" t="s">
        <v>49</v>
      </c>
      <c r="F21" s="222" t="s">
        <v>283</v>
      </c>
      <c r="G21" s="221" t="s">
        <v>464</v>
      </c>
      <c r="H21" s="222" t="s">
        <v>526</v>
      </c>
      <c r="I21" s="219">
        <f>'CC2'!F33</f>
        <v>28991690.2</v>
      </c>
    </row>
    <row r="22">
      <c r="A22" s="221" t="s">
        <v>493</v>
      </c>
      <c r="B22" s="204" t="s">
        <v>520</v>
      </c>
      <c r="C22" s="221" t="s">
        <v>251</v>
      </c>
      <c r="D22" s="222" t="s">
        <v>496</v>
      </c>
      <c r="E22" s="223" t="s">
        <v>49</v>
      </c>
      <c r="F22" s="222" t="s">
        <v>283</v>
      </c>
      <c r="G22" s="221" t="s">
        <v>463</v>
      </c>
      <c r="H22" s="222" t="s">
        <v>525</v>
      </c>
      <c r="I22" s="219">
        <f>'CC2'!E32</f>
        <v>2498152630</v>
      </c>
    </row>
    <row r="23">
      <c r="A23" s="221" t="s">
        <v>493</v>
      </c>
      <c r="B23" s="204" t="s">
        <v>520</v>
      </c>
      <c r="C23" s="221" t="s">
        <v>251</v>
      </c>
      <c r="D23" s="222" t="s">
        <v>496</v>
      </c>
      <c r="E23" s="223" t="s">
        <v>49</v>
      </c>
      <c r="F23" s="222" t="s">
        <v>283</v>
      </c>
      <c r="G23" s="221" t="s">
        <v>464</v>
      </c>
      <c r="H23" s="222" t="s">
        <v>525</v>
      </c>
      <c r="I23" s="219">
        <f>'CC2'!F32</f>
        <v>2498152630</v>
      </c>
    </row>
    <row r="24">
      <c r="G24" s="220"/>
      <c r="H24" s="220"/>
      <c r="I24" s="220"/>
    </row>
    <row r="25">
      <c r="G25" s="220"/>
      <c r="H25" s="220"/>
      <c r="I25" s="220"/>
    </row>
    <row r="26">
      <c r="G26" s="220"/>
      <c r="H26" s="220"/>
      <c r="I26" s="220"/>
    </row>
    <row r="27">
      <c r="G27" s="220"/>
      <c r="H27" s="220"/>
      <c r="I27" s="220"/>
    </row>
    <row r="28">
      <c r="G28" s="220"/>
      <c r="H28" s="220"/>
      <c r="I28" s="220"/>
    </row>
    <row r="29">
      <c r="G29" s="220"/>
      <c r="H29" s="220"/>
      <c r="I29" s="220"/>
    </row>
    <row r="30">
      <c r="G30" s="220"/>
      <c r="H30" s="220"/>
      <c r="I30" s="220"/>
    </row>
    <row r="31">
      <c r="G31" s="220"/>
      <c r="H31" s="220"/>
      <c r="I31" s="220"/>
    </row>
    <row r="32">
      <c r="G32" s="220"/>
      <c r="H32" s="220"/>
      <c r="I32" s="220"/>
    </row>
    <row r="33">
      <c r="G33" s="220"/>
      <c r="H33" s="220"/>
      <c r="I33" s="220"/>
    </row>
    <row r="34">
      <c r="G34" s="220"/>
      <c r="H34" s="220"/>
      <c r="I34" s="220"/>
    </row>
    <row r="35">
      <c r="G35" s="220"/>
      <c r="H35" s="220"/>
      <c r="I35" s="220"/>
    </row>
    <row r="36">
      <c r="G36" s="220"/>
      <c r="H36" s="220"/>
      <c r="I36" s="220"/>
    </row>
    <row r="37">
      <c r="G37" s="220"/>
      <c r="H37" s="220"/>
      <c r="I37" s="220"/>
    </row>
    <row r="38">
      <c r="G38" s="220"/>
      <c r="H38" s="220"/>
      <c r="I38" s="220"/>
    </row>
    <row r="39">
      <c r="G39" s="220"/>
      <c r="H39" s="220"/>
      <c r="I39" s="220"/>
    </row>
    <row r="40">
      <c r="G40" s="220"/>
      <c r="H40" s="220"/>
      <c r="I40" s="220"/>
    </row>
    <row r="41">
      <c r="G41" s="220"/>
      <c r="H41" s="220"/>
      <c r="I41" s="220"/>
    </row>
    <row r="42">
      <c r="G42" s="220"/>
      <c r="H42" s="220"/>
      <c r="I42" s="220"/>
    </row>
    <row r="43">
      <c r="G43" s="220"/>
      <c r="H43" s="220"/>
      <c r="I43" s="220"/>
    </row>
    <row r="44">
      <c r="G44" s="220"/>
      <c r="H44" s="220"/>
      <c r="I44" s="220"/>
    </row>
    <row r="45">
      <c r="G45" s="220"/>
      <c r="H45" s="220"/>
      <c r="I45" s="220"/>
    </row>
    <row r="46">
      <c r="G46" s="220"/>
      <c r="H46" s="220"/>
      <c r="I46" s="220"/>
    </row>
    <row r="47">
      <c r="G47" s="220"/>
      <c r="H47" s="220"/>
      <c r="I47" s="220"/>
    </row>
    <row r="48">
      <c r="G48" s="220"/>
      <c r="H48" s="220"/>
      <c r="I48" s="220"/>
    </row>
    <row r="49">
      <c r="G49" s="220"/>
      <c r="H49" s="220"/>
      <c r="I49" s="220"/>
    </row>
    <row r="50">
      <c r="G50" s="220"/>
      <c r="H50" s="220"/>
      <c r="I50" s="220"/>
    </row>
    <row r="51">
      <c r="G51" s="220"/>
      <c r="H51" s="220"/>
      <c r="I51" s="220"/>
    </row>
    <row r="52">
      <c r="G52" s="220"/>
      <c r="H52" s="220"/>
      <c r="I52" s="220"/>
    </row>
    <row r="53">
      <c r="G53" s="220"/>
      <c r="H53" s="220"/>
      <c r="I53" s="220"/>
    </row>
    <row r="54">
      <c r="G54" s="220"/>
      <c r="H54" s="220"/>
      <c r="I54" s="220"/>
    </row>
    <row r="55">
      <c r="G55" s="220"/>
      <c r="H55" s="220"/>
      <c r="I55" s="220"/>
    </row>
    <row r="56">
      <c r="G56" s="220"/>
      <c r="H56" s="220"/>
      <c r="I56" s="220"/>
    </row>
    <row r="57">
      <c r="G57" s="220"/>
      <c r="H57" s="220"/>
      <c r="I57" s="220"/>
    </row>
    <row r="58">
      <c r="G58" s="220"/>
      <c r="H58" s="220"/>
      <c r="I58" s="220"/>
    </row>
    <row r="59">
      <c r="G59" s="220"/>
      <c r="H59" s="220"/>
      <c r="I59" s="220"/>
    </row>
    <row r="60">
      <c r="G60" s="220"/>
      <c r="H60" s="220"/>
      <c r="I60" s="220"/>
    </row>
    <row r="61">
      <c r="G61" s="220"/>
      <c r="H61" s="220"/>
      <c r="I61" s="220"/>
    </row>
    <row r="62">
      <c r="G62" s="220"/>
      <c r="H62" s="220"/>
      <c r="I62" s="220"/>
    </row>
    <row r="63">
      <c r="G63" s="220"/>
      <c r="H63" s="220"/>
      <c r="I63" s="220"/>
    </row>
    <row r="64">
      <c r="G64" s="220"/>
      <c r="H64" s="220"/>
      <c r="I64" s="220"/>
    </row>
    <row r="65">
      <c r="G65" s="220"/>
      <c r="H65" s="220"/>
      <c r="I65" s="220"/>
    </row>
    <row r="66">
      <c r="G66" s="220"/>
      <c r="H66" s="220"/>
      <c r="I66" s="220"/>
    </row>
    <row r="67">
      <c r="G67" s="220"/>
      <c r="H67" s="220"/>
      <c r="I67" s="220"/>
    </row>
    <row r="68">
      <c r="G68" s="220"/>
      <c r="H68" s="220"/>
      <c r="I68" s="220"/>
    </row>
    <row r="69">
      <c r="G69" s="220"/>
      <c r="H69" s="220"/>
      <c r="I69" s="220"/>
    </row>
    <row r="70">
      <c r="G70" s="220"/>
      <c r="H70" s="220"/>
      <c r="I70" s="220"/>
    </row>
    <row r="71">
      <c r="G71" s="220"/>
      <c r="H71" s="220"/>
      <c r="I71" s="220"/>
    </row>
    <row r="72">
      <c r="G72" s="220"/>
      <c r="H72" s="220"/>
      <c r="I72" s="220"/>
    </row>
    <row r="73">
      <c r="G73" s="220"/>
      <c r="H73" s="220"/>
      <c r="I73" s="220"/>
    </row>
    <row r="74">
      <c r="G74" s="220"/>
      <c r="H74" s="220"/>
      <c r="I74" s="220"/>
    </row>
    <row r="75">
      <c r="G75" s="220"/>
      <c r="H75" s="220"/>
      <c r="I75" s="220"/>
    </row>
    <row r="76">
      <c r="G76" s="220"/>
      <c r="H76" s="220"/>
      <c r="I76" s="220"/>
    </row>
    <row r="77">
      <c r="G77" s="220"/>
      <c r="H77" s="220"/>
      <c r="I77" s="220"/>
    </row>
    <row r="78">
      <c r="G78" s="220"/>
      <c r="H78" s="220"/>
      <c r="I78" s="220"/>
    </row>
    <row r="79">
      <c r="G79" s="220"/>
      <c r="H79" s="220"/>
      <c r="I79" s="220"/>
    </row>
    <row r="80">
      <c r="G80" s="220"/>
      <c r="H80" s="220"/>
      <c r="I80" s="220"/>
    </row>
    <row r="81">
      <c r="G81" s="220"/>
      <c r="H81" s="220"/>
      <c r="I81" s="220"/>
    </row>
    <row r="82">
      <c r="G82" s="220"/>
      <c r="H82" s="220"/>
      <c r="I82" s="220"/>
    </row>
    <row r="83">
      <c r="G83" s="220"/>
      <c r="H83" s="220"/>
      <c r="I83" s="220"/>
    </row>
    <row r="84">
      <c r="G84" s="220"/>
      <c r="H84" s="220"/>
      <c r="I84" s="220"/>
    </row>
    <row r="85">
      <c r="G85" s="220"/>
      <c r="H85" s="220"/>
      <c r="I85" s="220"/>
    </row>
    <row r="86">
      <c r="G86" s="220"/>
      <c r="H86" s="220"/>
      <c r="I86" s="220"/>
    </row>
    <row r="87">
      <c r="G87" s="220"/>
      <c r="H87" s="220"/>
      <c r="I87" s="220"/>
    </row>
    <row r="88">
      <c r="G88" s="220"/>
      <c r="H88" s="220"/>
      <c r="I88" s="220"/>
    </row>
    <row r="89">
      <c r="G89" s="220"/>
      <c r="H89" s="220"/>
      <c r="I89" s="220"/>
    </row>
    <row r="90">
      <c r="G90" s="220"/>
      <c r="H90" s="220"/>
      <c r="I90" s="220"/>
    </row>
    <row r="91">
      <c r="G91" s="220"/>
      <c r="H91" s="220"/>
      <c r="I91" s="220"/>
    </row>
    <row r="92">
      <c r="G92" s="220"/>
      <c r="H92" s="220"/>
      <c r="I92" s="220"/>
    </row>
    <row r="93">
      <c r="G93" s="220"/>
      <c r="H93" s="220"/>
      <c r="I93" s="220"/>
    </row>
    <row r="94">
      <c r="G94" s="220"/>
      <c r="H94" s="220"/>
      <c r="I94" s="220"/>
    </row>
    <row r="95">
      <c r="G95" s="220"/>
      <c r="H95" s="220"/>
      <c r="I95" s="220"/>
    </row>
    <row r="96">
      <c r="G96" s="220"/>
      <c r="H96" s="220"/>
      <c r="I96" s="220"/>
    </row>
    <row r="97">
      <c r="G97" s="220"/>
      <c r="H97" s="220"/>
      <c r="I97" s="220"/>
    </row>
    <row r="98">
      <c r="G98" s="220"/>
      <c r="H98" s="220"/>
      <c r="I98" s="220"/>
    </row>
    <row r="99">
      <c r="G99" s="220"/>
      <c r="H99" s="220"/>
      <c r="I99" s="220"/>
    </row>
    <row r="100">
      <c r="G100" s="220"/>
      <c r="H100" s="220"/>
      <c r="I100" s="220"/>
    </row>
    <row r="101">
      <c r="G101" s="220"/>
      <c r="H101" s="220"/>
      <c r="I101" s="220"/>
    </row>
    <row r="102">
      <c r="G102" s="220"/>
      <c r="H102" s="220"/>
      <c r="I102" s="220"/>
    </row>
    <row r="103">
      <c r="G103" s="220"/>
      <c r="H103" s="220"/>
      <c r="I103" s="220"/>
    </row>
    <row r="104">
      <c r="G104" s="220"/>
      <c r="H104" s="220"/>
      <c r="I104" s="220"/>
    </row>
    <row r="105">
      <c r="G105" s="220"/>
      <c r="H105" s="220"/>
      <c r="I105" s="220"/>
    </row>
    <row r="106">
      <c r="G106" s="220"/>
      <c r="H106" s="220"/>
      <c r="I106" s="220"/>
    </row>
    <row r="107">
      <c r="G107" s="220"/>
      <c r="H107" s="220"/>
      <c r="I107" s="220"/>
    </row>
    <row r="108">
      <c r="G108" s="220"/>
      <c r="H108" s="220"/>
      <c r="I108" s="220"/>
    </row>
    <row r="109">
      <c r="G109" s="220"/>
      <c r="H109" s="220"/>
      <c r="I109" s="220"/>
    </row>
    <row r="110">
      <c r="G110" s="220"/>
      <c r="H110" s="220"/>
      <c r="I110" s="220"/>
    </row>
    <row r="111">
      <c r="G111" s="220"/>
      <c r="H111" s="220"/>
      <c r="I111" s="220"/>
    </row>
    <row r="112">
      <c r="G112" s="220"/>
      <c r="H112" s="220"/>
      <c r="I112" s="220"/>
    </row>
    <row r="113">
      <c r="G113" s="220"/>
      <c r="H113" s="220"/>
      <c r="I113" s="220"/>
    </row>
    <row r="114">
      <c r="G114" s="220"/>
      <c r="H114" s="220"/>
      <c r="I114" s="220"/>
    </row>
    <row r="115">
      <c r="G115" s="220"/>
      <c r="H115" s="220"/>
      <c r="I115" s="220"/>
    </row>
    <row r="116">
      <c r="G116" s="220"/>
      <c r="H116" s="220"/>
      <c r="I116" s="220"/>
    </row>
    <row r="117">
      <c r="G117" s="220"/>
      <c r="H117" s="220"/>
      <c r="I117" s="220"/>
    </row>
    <row r="118">
      <c r="G118" s="220"/>
      <c r="H118" s="220"/>
      <c r="I118" s="220"/>
    </row>
    <row r="119">
      <c r="G119" s="220"/>
      <c r="H119" s="220"/>
      <c r="I119" s="220"/>
    </row>
    <row r="120">
      <c r="G120" s="220"/>
      <c r="H120" s="220"/>
      <c r="I120" s="220"/>
    </row>
    <row r="121">
      <c r="G121" s="220"/>
      <c r="H121" s="220"/>
      <c r="I121" s="220"/>
    </row>
    <row r="122">
      <c r="G122" s="220"/>
      <c r="H122" s="220"/>
      <c r="I122" s="220"/>
    </row>
    <row r="123">
      <c r="G123" s="220"/>
      <c r="H123" s="220"/>
      <c r="I123" s="220"/>
    </row>
    <row r="124">
      <c r="G124" s="220"/>
      <c r="H124" s="220"/>
      <c r="I124" s="220"/>
    </row>
    <row r="125">
      <c r="G125" s="220"/>
      <c r="H125" s="220"/>
      <c r="I125" s="220"/>
    </row>
    <row r="126">
      <c r="G126" s="220"/>
      <c r="H126" s="220"/>
      <c r="I126" s="220"/>
    </row>
    <row r="127">
      <c r="G127" s="220"/>
      <c r="H127" s="220"/>
      <c r="I127" s="220"/>
    </row>
    <row r="128">
      <c r="G128" s="220"/>
      <c r="H128" s="220"/>
      <c r="I128" s="220"/>
    </row>
    <row r="129">
      <c r="G129" s="220"/>
      <c r="H129" s="220"/>
      <c r="I129" s="220"/>
    </row>
    <row r="130">
      <c r="G130" s="220"/>
      <c r="H130" s="220"/>
      <c r="I130" s="220"/>
    </row>
    <row r="131">
      <c r="G131" s="220"/>
      <c r="H131" s="220"/>
      <c r="I131" s="220"/>
    </row>
    <row r="132">
      <c r="G132" s="220"/>
      <c r="H132" s="220"/>
      <c r="I132" s="220"/>
    </row>
    <row r="133">
      <c r="G133" s="220"/>
      <c r="H133" s="220"/>
      <c r="I133" s="220"/>
    </row>
    <row r="134">
      <c r="G134" s="220"/>
      <c r="H134" s="220"/>
      <c r="I134" s="220"/>
    </row>
    <row r="135">
      <c r="G135" s="220"/>
      <c r="H135" s="220"/>
      <c r="I135" s="220"/>
    </row>
    <row r="136">
      <c r="G136" s="220"/>
      <c r="H136" s="220"/>
      <c r="I136" s="220"/>
    </row>
    <row r="137">
      <c r="G137" s="220"/>
      <c r="H137" s="220"/>
      <c r="I137" s="220"/>
    </row>
    <row r="138">
      <c r="G138" s="220"/>
      <c r="H138" s="220"/>
      <c r="I138" s="220"/>
    </row>
    <row r="139">
      <c r="G139" s="220"/>
      <c r="H139" s="220"/>
      <c r="I139" s="220"/>
    </row>
    <row r="140">
      <c r="G140" s="220"/>
      <c r="H140" s="220"/>
      <c r="I140" s="220"/>
    </row>
    <row r="141">
      <c r="G141" s="220"/>
      <c r="H141" s="220"/>
      <c r="I141" s="220"/>
    </row>
    <row r="142">
      <c r="G142" s="220"/>
      <c r="H142" s="220"/>
      <c r="I142" s="220"/>
    </row>
    <row r="143">
      <c r="G143" s="220"/>
      <c r="H143" s="220"/>
      <c r="I143" s="220"/>
    </row>
    <row r="144">
      <c r="G144" s="220"/>
      <c r="H144" s="220"/>
      <c r="I144" s="220"/>
    </row>
    <row r="145">
      <c r="G145" s="220"/>
      <c r="H145" s="220"/>
      <c r="I145" s="220"/>
    </row>
    <row r="146">
      <c r="G146" s="220"/>
      <c r="H146" s="220"/>
      <c r="I146" s="220"/>
    </row>
    <row r="147">
      <c r="G147" s="220"/>
      <c r="H147" s="220"/>
      <c r="I147" s="220"/>
    </row>
    <row r="148">
      <c r="G148" s="220"/>
      <c r="H148" s="220"/>
      <c r="I148" s="220"/>
    </row>
    <row r="149">
      <c r="G149" s="220"/>
      <c r="H149" s="220"/>
      <c r="I149" s="220"/>
    </row>
    <row r="150">
      <c r="G150" s="220"/>
      <c r="H150" s="220"/>
      <c r="I150" s="220"/>
    </row>
    <row r="151">
      <c r="G151" s="220"/>
      <c r="H151" s="220"/>
      <c r="I151" s="220"/>
    </row>
    <row r="152">
      <c r="G152" s="220"/>
      <c r="H152" s="220"/>
      <c r="I152" s="220"/>
    </row>
    <row r="153">
      <c r="G153" s="220"/>
      <c r="H153" s="220"/>
      <c r="I153" s="220"/>
    </row>
    <row r="154">
      <c r="G154" s="220"/>
      <c r="H154" s="220"/>
      <c r="I154" s="220"/>
    </row>
    <row r="155">
      <c r="G155" s="220"/>
      <c r="H155" s="220"/>
      <c r="I155" s="220"/>
    </row>
    <row r="156">
      <c r="G156" s="220"/>
      <c r="H156" s="220"/>
      <c r="I156" s="220"/>
    </row>
    <row r="157">
      <c r="G157" s="220"/>
      <c r="H157" s="220"/>
      <c r="I157" s="220"/>
    </row>
    <row r="158">
      <c r="G158" s="220"/>
      <c r="H158" s="220"/>
      <c r="I158" s="220"/>
    </row>
    <row r="159">
      <c r="G159" s="220"/>
      <c r="H159" s="220"/>
      <c r="I159" s="220"/>
    </row>
    <row r="160">
      <c r="G160" s="220"/>
      <c r="H160" s="220"/>
      <c r="I160" s="220"/>
    </row>
    <row r="161">
      <c r="G161" s="220"/>
      <c r="H161" s="220"/>
      <c r="I161" s="220"/>
    </row>
    <row r="162">
      <c r="G162" s="220"/>
      <c r="H162" s="220"/>
      <c r="I162" s="220"/>
    </row>
    <row r="163">
      <c r="G163" s="220"/>
      <c r="H163" s="220"/>
      <c r="I163" s="220"/>
    </row>
    <row r="164">
      <c r="G164" s="220"/>
      <c r="H164" s="220"/>
      <c r="I164" s="220"/>
    </row>
    <row r="165">
      <c r="G165" s="220"/>
      <c r="H165" s="220"/>
      <c r="I165" s="220"/>
    </row>
    <row r="166">
      <c r="G166" s="220"/>
      <c r="H166" s="220"/>
      <c r="I166" s="220"/>
    </row>
    <row r="167">
      <c r="G167" s="220"/>
      <c r="H167" s="220"/>
      <c r="I167" s="220"/>
    </row>
    <row r="168">
      <c r="G168" s="220"/>
      <c r="H168" s="220"/>
      <c r="I168" s="220"/>
    </row>
    <row r="169">
      <c r="G169" s="220"/>
      <c r="H169" s="220"/>
      <c r="I169" s="220"/>
    </row>
    <row r="170">
      <c r="G170" s="220"/>
      <c r="H170" s="220"/>
      <c r="I170" s="220"/>
    </row>
    <row r="171">
      <c r="G171" s="220"/>
      <c r="H171" s="220"/>
      <c r="I171" s="220"/>
    </row>
    <row r="172">
      <c r="G172" s="220"/>
      <c r="H172" s="220"/>
      <c r="I172" s="220"/>
    </row>
    <row r="173">
      <c r="G173" s="220"/>
      <c r="H173" s="220"/>
      <c r="I173" s="220"/>
    </row>
    <row r="174">
      <c r="G174" s="220"/>
      <c r="H174" s="220"/>
      <c r="I174" s="220"/>
    </row>
    <row r="175">
      <c r="G175" s="220"/>
      <c r="H175" s="220"/>
      <c r="I175" s="220"/>
    </row>
    <row r="176">
      <c r="G176" s="220"/>
      <c r="H176" s="220"/>
      <c r="I176" s="220"/>
    </row>
    <row r="177">
      <c r="G177" s="220"/>
      <c r="H177" s="220"/>
      <c r="I177" s="220"/>
    </row>
    <row r="178">
      <c r="G178" s="220"/>
      <c r="H178" s="220"/>
      <c r="I178" s="220"/>
    </row>
    <row r="179">
      <c r="G179" s="220"/>
      <c r="H179" s="220"/>
      <c r="I179" s="220"/>
    </row>
    <row r="180">
      <c r="G180" s="220"/>
      <c r="H180" s="220"/>
      <c r="I180" s="220"/>
    </row>
    <row r="181">
      <c r="G181" s="220"/>
      <c r="H181" s="220"/>
      <c r="I181" s="220"/>
    </row>
    <row r="182">
      <c r="G182" s="220"/>
      <c r="H182" s="220"/>
      <c r="I182" s="220"/>
    </row>
    <row r="183">
      <c r="G183" s="220"/>
      <c r="H183" s="220"/>
      <c r="I183" s="220"/>
    </row>
    <row r="184">
      <c r="G184" s="220"/>
      <c r="H184" s="220"/>
      <c r="I184" s="220"/>
    </row>
    <row r="185">
      <c r="G185" s="220"/>
      <c r="H185" s="220"/>
      <c r="I185" s="220"/>
    </row>
    <row r="186">
      <c r="G186" s="220"/>
      <c r="H186" s="220"/>
      <c r="I186" s="220"/>
    </row>
    <row r="187">
      <c r="G187" s="220"/>
      <c r="H187" s="220"/>
      <c r="I187" s="220"/>
    </row>
    <row r="188">
      <c r="G188" s="220"/>
      <c r="H188" s="220"/>
      <c r="I188" s="220"/>
    </row>
    <row r="189">
      <c r="G189" s="220"/>
      <c r="H189" s="220"/>
      <c r="I189" s="220"/>
    </row>
    <row r="190">
      <c r="G190" s="220"/>
      <c r="H190" s="220"/>
      <c r="I190" s="220"/>
    </row>
    <row r="191">
      <c r="G191" s="220"/>
      <c r="H191" s="220"/>
      <c r="I191" s="220"/>
    </row>
    <row r="192">
      <c r="G192" s="220"/>
      <c r="H192" s="220"/>
      <c r="I192" s="220"/>
    </row>
    <row r="193">
      <c r="G193" s="220"/>
      <c r="H193" s="220"/>
      <c r="I193" s="220"/>
    </row>
    <row r="194">
      <c r="G194" s="220"/>
      <c r="H194" s="220"/>
      <c r="I194" s="220"/>
    </row>
    <row r="195">
      <c r="G195" s="220"/>
      <c r="H195" s="220"/>
      <c r="I195" s="220"/>
    </row>
    <row r="196">
      <c r="G196" s="220"/>
      <c r="H196" s="220"/>
      <c r="I196" s="220"/>
    </row>
    <row r="197">
      <c r="G197" s="220"/>
      <c r="H197" s="220"/>
      <c r="I197" s="220"/>
    </row>
    <row r="198">
      <c r="G198" s="220"/>
      <c r="H198" s="220"/>
      <c r="I198" s="220"/>
    </row>
    <row r="199">
      <c r="G199" s="220"/>
      <c r="H199" s="220"/>
      <c r="I199" s="220"/>
    </row>
    <row r="200">
      <c r="G200" s="220"/>
      <c r="H200" s="220"/>
      <c r="I200" s="220"/>
    </row>
    <row r="201">
      <c r="G201" s="220"/>
      <c r="H201" s="220"/>
      <c r="I201" s="220"/>
    </row>
    <row r="202">
      <c r="G202" s="220"/>
      <c r="H202" s="220"/>
      <c r="I202" s="220"/>
    </row>
    <row r="203">
      <c r="G203" s="220"/>
      <c r="H203" s="220"/>
      <c r="I203" s="220"/>
    </row>
    <row r="204">
      <c r="G204" s="220"/>
      <c r="H204" s="220"/>
      <c r="I204" s="220"/>
    </row>
    <row r="205">
      <c r="G205" s="220"/>
      <c r="H205" s="220"/>
      <c r="I205" s="220"/>
    </row>
    <row r="206">
      <c r="G206" s="220"/>
      <c r="H206" s="220"/>
      <c r="I206" s="220"/>
    </row>
    <row r="207">
      <c r="G207" s="220"/>
      <c r="H207" s="220"/>
      <c r="I207" s="220"/>
    </row>
    <row r="208">
      <c r="G208" s="220"/>
      <c r="H208" s="220"/>
      <c r="I208" s="220"/>
    </row>
    <row r="209">
      <c r="G209" s="220"/>
      <c r="H209" s="220"/>
      <c r="I209" s="220"/>
    </row>
    <row r="210">
      <c r="G210" s="220"/>
      <c r="H210" s="220"/>
      <c r="I210" s="220"/>
    </row>
    <row r="211">
      <c r="G211" s="220"/>
      <c r="H211" s="220"/>
      <c r="I211" s="220"/>
    </row>
    <row r="212">
      <c r="G212" s="220"/>
      <c r="H212" s="220"/>
      <c r="I212" s="220"/>
    </row>
    <row r="213">
      <c r="G213" s="220"/>
      <c r="H213" s="220"/>
      <c r="I213" s="220"/>
    </row>
    <row r="214">
      <c r="G214" s="220"/>
      <c r="H214" s="220"/>
      <c r="I214" s="220"/>
    </row>
    <row r="215">
      <c r="G215" s="220"/>
      <c r="H215" s="220"/>
      <c r="I215" s="220"/>
    </row>
    <row r="216">
      <c r="G216" s="220"/>
      <c r="H216" s="220"/>
      <c r="I216" s="220"/>
    </row>
    <row r="217">
      <c r="G217" s="220"/>
      <c r="H217" s="220"/>
      <c r="I217" s="220"/>
    </row>
    <row r="218">
      <c r="G218" s="220"/>
      <c r="H218" s="220"/>
      <c r="I218" s="220"/>
    </row>
    <row r="219">
      <c r="G219" s="220"/>
      <c r="H219" s="220"/>
      <c r="I219" s="220"/>
    </row>
    <row r="220">
      <c r="G220" s="220"/>
      <c r="H220" s="220"/>
      <c r="I220" s="220"/>
    </row>
    <row r="221">
      <c r="G221" s="220"/>
      <c r="H221" s="220"/>
      <c r="I221" s="220"/>
    </row>
    <row r="222">
      <c r="G222" s="220"/>
      <c r="H222" s="220"/>
      <c r="I222" s="220"/>
    </row>
    <row r="223">
      <c r="G223" s="220"/>
      <c r="H223" s="220"/>
      <c r="I223" s="220"/>
    </row>
    <row r="224">
      <c r="G224" s="220"/>
      <c r="H224" s="220"/>
      <c r="I224" s="220"/>
    </row>
    <row r="225">
      <c r="G225" s="220"/>
      <c r="H225" s="220"/>
      <c r="I225" s="220"/>
    </row>
    <row r="226">
      <c r="G226" s="220"/>
      <c r="H226" s="220"/>
      <c r="I226" s="220"/>
    </row>
    <row r="227">
      <c r="G227" s="220"/>
      <c r="H227" s="220"/>
      <c r="I227" s="220"/>
    </row>
    <row r="228">
      <c r="G228" s="220"/>
      <c r="H228" s="220"/>
      <c r="I228" s="220"/>
    </row>
    <row r="229">
      <c r="G229" s="220"/>
      <c r="H229" s="220"/>
      <c r="I229" s="220"/>
    </row>
    <row r="230">
      <c r="G230" s="220"/>
      <c r="H230" s="220"/>
      <c r="I230" s="220"/>
    </row>
    <row r="231">
      <c r="G231" s="220"/>
      <c r="H231" s="220"/>
      <c r="I231" s="220"/>
    </row>
    <row r="232">
      <c r="G232" s="220"/>
      <c r="H232" s="220"/>
      <c r="I232" s="220"/>
    </row>
    <row r="233">
      <c r="G233" s="220"/>
      <c r="H233" s="220"/>
      <c r="I233" s="220"/>
    </row>
    <row r="234">
      <c r="G234" s="220"/>
      <c r="H234" s="220"/>
      <c r="I234" s="220"/>
    </row>
    <row r="235">
      <c r="G235" s="220"/>
      <c r="H235" s="220"/>
      <c r="I235" s="220"/>
    </row>
    <row r="236">
      <c r="G236" s="220"/>
      <c r="H236" s="220"/>
      <c r="I236" s="220"/>
    </row>
    <row r="237">
      <c r="G237" s="220"/>
      <c r="H237" s="220"/>
      <c r="I237" s="220"/>
    </row>
    <row r="238">
      <c r="G238" s="220"/>
      <c r="H238" s="220"/>
      <c r="I238" s="220"/>
    </row>
    <row r="239">
      <c r="G239" s="220"/>
      <c r="H239" s="220"/>
      <c r="I239" s="220"/>
    </row>
    <row r="240">
      <c r="G240" s="220"/>
      <c r="H240" s="220"/>
      <c r="I240" s="220"/>
    </row>
    <row r="241">
      <c r="G241" s="220"/>
      <c r="H241" s="220"/>
      <c r="I241" s="220"/>
    </row>
    <row r="242">
      <c r="G242" s="220"/>
      <c r="H242" s="220"/>
      <c r="I242" s="220"/>
    </row>
    <row r="243">
      <c r="G243" s="220"/>
      <c r="H243" s="220"/>
      <c r="I243" s="220"/>
    </row>
    <row r="244">
      <c r="G244" s="220"/>
      <c r="H244" s="220"/>
      <c r="I244" s="220"/>
    </row>
    <row r="245">
      <c r="G245" s="220"/>
      <c r="H245" s="220"/>
      <c r="I245" s="220"/>
    </row>
    <row r="246">
      <c r="G246" s="220"/>
      <c r="H246" s="220"/>
      <c r="I246" s="220"/>
    </row>
    <row r="247">
      <c r="G247" s="220"/>
      <c r="H247" s="220"/>
      <c r="I247" s="220"/>
    </row>
    <row r="248">
      <c r="G248" s="220"/>
      <c r="H248" s="220"/>
      <c r="I248" s="220"/>
    </row>
    <row r="249">
      <c r="G249" s="220"/>
      <c r="H249" s="220"/>
      <c r="I249" s="220"/>
    </row>
    <row r="250">
      <c r="G250" s="220"/>
      <c r="H250" s="220"/>
      <c r="I250" s="220"/>
    </row>
    <row r="251">
      <c r="G251" s="220"/>
      <c r="H251" s="220"/>
      <c r="I251" s="220"/>
    </row>
    <row r="252">
      <c r="G252" s="220"/>
      <c r="H252" s="220"/>
      <c r="I252" s="220"/>
    </row>
    <row r="253">
      <c r="G253" s="220"/>
      <c r="H253" s="220"/>
      <c r="I253" s="220"/>
    </row>
    <row r="254">
      <c r="G254" s="220"/>
      <c r="H254" s="220"/>
      <c r="I254" s="220"/>
    </row>
    <row r="255">
      <c r="G255" s="220"/>
      <c r="H255" s="220"/>
      <c r="I255" s="220"/>
    </row>
    <row r="256">
      <c r="G256" s="220"/>
      <c r="H256" s="220"/>
      <c r="I256" s="220"/>
    </row>
    <row r="257">
      <c r="G257" s="220"/>
      <c r="H257" s="220"/>
      <c r="I257" s="220"/>
    </row>
    <row r="258">
      <c r="G258" s="220"/>
      <c r="H258" s="220"/>
      <c r="I258" s="220"/>
    </row>
    <row r="259">
      <c r="G259" s="220"/>
      <c r="H259" s="220"/>
      <c r="I259" s="220"/>
    </row>
    <row r="260">
      <c r="G260" s="220"/>
      <c r="H260" s="220"/>
      <c r="I260" s="220"/>
    </row>
    <row r="261">
      <c r="G261" s="220"/>
      <c r="H261" s="220"/>
      <c r="I261" s="220"/>
    </row>
    <row r="262">
      <c r="G262" s="220"/>
      <c r="H262" s="220"/>
      <c r="I262" s="220"/>
    </row>
    <row r="263">
      <c r="G263" s="220"/>
      <c r="H263" s="220"/>
      <c r="I263" s="220"/>
    </row>
    <row r="264">
      <c r="G264" s="220"/>
      <c r="H264" s="220"/>
      <c r="I264" s="220"/>
    </row>
    <row r="265">
      <c r="G265" s="220"/>
      <c r="H265" s="220"/>
      <c r="I265" s="220"/>
    </row>
    <row r="266">
      <c r="G266" s="220"/>
      <c r="H266" s="220"/>
      <c r="I266" s="220"/>
    </row>
    <row r="267">
      <c r="G267" s="220"/>
      <c r="H267" s="220"/>
      <c r="I267" s="220"/>
    </row>
    <row r="268">
      <c r="G268" s="220"/>
      <c r="H268" s="220"/>
      <c r="I268" s="220"/>
    </row>
    <row r="269">
      <c r="G269" s="220"/>
      <c r="H269" s="220"/>
      <c r="I269" s="220"/>
    </row>
    <row r="270">
      <c r="G270" s="220"/>
      <c r="H270" s="220"/>
      <c r="I270" s="220"/>
    </row>
    <row r="271">
      <c r="G271" s="220"/>
      <c r="H271" s="220"/>
      <c r="I271" s="220"/>
    </row>
    <row r="272">
      <c r="G272" s="220"/>
      <c r="H272" s="220"/>
      <c r="I272" s="220"/>
    </row>
    <row r="273">
      <c r="G273" s="220"/>
      <c r="H273" s="220"/>
      <c r="I273" s="220"/>
    </row>
    <row r="274">
      <c r="G274" s="220"/>
      <c r="H274" s="220"/>
      <c r="I274" s="220"/>
    </row>
    <row r="275">
      <c r="G275" s="220"/>
      <c r="H275" s="220"/>
      <c r="I275" s="220"/>
    </row>
    <row r="276">
      <c r="G276" s="220"/>
      <c r="H276" s="220"/>
      <c r="I276" s="220"/>
    </row>
    <row r="277">
      <c r="G277" s="220"/>
      <c r="H277" s="220"/>
      <c r="I277" s="220"/>
    </row>
    <row r="278">
      <c r="G278" s="220"/>
      <c r="H278" s="220"/>
      <c r="I278" s="220"/>
    </row>
    <row r="279">
      <c r="G279" s="220"/>
      <c r="H279" s="220"/>
      <c r="I279" s="220"/>
    </row>
    <row r="280">
      <c r="G280" s="220"/>
      <c r="H280" s="220"/>
      <c r="I280" s="220"/>
    </row>
    <row r="281">
      <c r="G281" s="220"/>
      <c r="H281" s="220"/>
      <c r="I281" s="220"/>
    </row>
    <row r="282">
      <c r="G282" s="220"/>
      <c r="H282" s="220"/>
      <c r="I282" s="220"/>
    </row>
    <row r="283">
      <c r="G283" s="220"/>
      <c r="H283" s="220"/>
      <c r="I283" s="220"/>
    </row>
    <row r="284">
      <c r="G284" s="220"/>
      <c r="H284" s="220"/>
      <c r="I284" s="220"/>
    </row>
    <row r="285">
      <c r="G285" s="220"/>
      <c r="H285" s="220"/>
      <c r="I285" s="220"/>
    </row>
    <row r="286">
      <c r="G286" s="220"/>
      <c r="H286" s="220"/>
      <c r="I286" s="220"/>
    </row>
    <row r="287">
      <c r="G287" s="220"/>
      <c r="H287" s="220"/>
      <c r="I287" s="220"/>
    </row>
    <row r="288">
      <c r="G288" s="220"/>
      <c r="H288" s="220"/>
      <c r="I288" s="220"/>
    </row>
    <row r="289">
      <c r="G289" s="220"/>
      <c r="H289" s="220"/>
      <c r="I289" s="220"/>
    </row>
    <row r="290">
      <c r="G290" s="220"/>
      <c r="H290" s="220"/>
      <c r="I290" s="220"/>
    </row>
    <row r="291">
      <c r="G291" s="220"/>
      <c r="H291" s="220"/>
      <c r="I291" s="220"/>
    </row>
    <row r="292">
      <c r="G292" s="220"/>
      <c r="H292" s="220"/>
      <c r="I292" s="220"/>
    </row>
    <row r="293">
      <c r="G293" s="220"/>
      <c r="H293" s="220"/>
      <c r="I293" s="220"/>
    </row>
    <row r="294">
      <c r="G294" s="220"/>
      <c r="H294" s="220"/>
      <c r="I294" s="220"/>
    </row>
    <row r="295">
      <c r="G295" s="220"/>
      <c r="H295" s="220"/>
      <c r="I295" s="220"/>
    </row>
    <row r="296">
      <c r="G296" s="220"/>
      <c r="H296" s="220"/>
      <c r="I296" s="220"/>
    </row>
    <row r="297">
      <c r="G297" s="220"/>
      <c r="H297" s="220"/>
      <c r="I297" s="220"/>
    </row>
    <row r="298">
      <c r="G298" s="220"/>
      <c r="H298" s="220"/>
      <c r="I298" s="220"/>
    </row>
    <row r="299">
      <c r="G299" s="220"/>
      <c r="H299" s="220"/>
      <c r="I299" s="220"/>
    </row>
    <row r="300">
      <c r="G300" s="220"/>
      <c r="H300" s="220"/>
      <c r="I300" s="220"/>
    </row>
    <row r="301">
      <c r="G301" s="220"/>
      <c r="H301" s="220"/>
      <c r="I301" s="220"/>
    </row>
    <row r="302">
      <c r="G302" s="220"/>
      <c r="H302" s="220"/>
      <c r="I302" s="220"/>
    </row>
    <row r="303">
      <c r="G303" s="220"/>
      <c r="H303" s="220"/>
      <c r="I303" s="220"/>
    </row>
    <row r="304">
      <c r="G304" s="220"/>
      <c r="H304" s="220"/>
      <c r="I304" s="220"/>
    </row>
    <row r="305">
      <c r="G305" s="220"/>
      <c r="H305" s="220"/>
      <c r="I305" s="220"/>
    </row>
    <row r="306">
      <c r="G306" s="220"/>
      <c r="H306" s="220"/>
      <c r="I306" s="220"/>
    </row>
    <row r="307">
      <c r="G307" s="220"/>
      <c r="H307" s="220"/>
      <c r="I307" s="220"/>
    </row>
    <row r="308">
      <c r="G308" s="220"/>
      <c r="H308" s="220"/>
      <c r="I308" s="220"/>
    </row>
    <row r="309">
      <c r="G309" s="220"/>
      <c r="H309" s="220"/>
      <c r="I309" s="220"/>
    </row>
    <row r="310">
      <c r="G310" s="220"/>
      <c r="H310" s="220"/>
      <c r="I310" s="220"/>
    </row>
    <row r="311">
      <c r="G311" s="220"/>
      <c r="H311" s="220"/>
      <c r="I311" s="220"/>
    </row>
    <row r="312">
      <c r="G312" s="220"/>
      <c r="H312" s="220"/>
      <c r="I312" s="220"/>
    </row>
    <row r="313">
      <c r="G313" s="220"/>
      <c r="H313" s="220"/>
      <c r="I313" s="220"/>
    </row>
    <row r="314">
      <c r="G314" s="220"/>
      <c r="H314" s="220"/>
      <c r="I314" s="220"/>
    </row>
    <row r="315">
      <c r="G315" s="220"/>
      <c r="H315" s="220"/>
      <c r="I315" s="220"/>
    </row>
    <row r="316">
      <c r="G316" s="220"/>
      <c r="H316" s="220"/>
      <c r="I316" s="220"/>
    </row>
    <row r="317">
      <c r="G317" s="220"/>
      <c r="H317" s="220"/>
      <c r="I317" s="220"/>
    </row>
    <row r="318">
      <c r="G318" s="220"/>
      <c r="H318" s="220"/>
      <c r="I318" s="220"/>
    </row>
    <row r="319">
      <c r="G319" s="220"/>
      <c r="H319" s="220"/>
      <c r="I319" s="220"/>
    </row>
    <row r="320">
      <c r="G320" s="220"/>
      <c r="H320" s="220"/>
      <c r="I320" s="220"/>
    </row>
    <row r="321">
      <c r="G321" s="220"/>
      <c r="H321" s="220"/>
      <c r="I321" s="220"/>
    </row>
    <row r="322">
      <c r="G322" s="220"/>
      <c r="H322" s="220"/>
      <c r="I322" s="220"/>
    </row>
    <row r="323">
      <c r="G323" s="220"/>
      <c r="H323" s="220"/>
      <c r="I323" s="220"/>
    </row>
    <row r="324">
      <c r="G324" s="220"/>
      <c r="H324" s="220"/>
      <c r="I324" s="220"/>
    </row>
    <row r="325">
      <c r="G325" s="220"/>
      <c r="H325" s="220"/>
      <c r="I325" s="220"/>
    </row>
    <row r="326">
      <c r="G326" s="220"/>
      <c r="H326" s="220"/>
      <c r="I326" s="220"/>
    </row>
    <row r="327">
      <c r="G327" s="220"/>
      <c r="H327" s="220"/>
      <c r="I327" s="220"/>
    </row>
    <row r="328">
      <c r="G328" s="220"/>
      <c r="H328" s="220"/>
      <c r="I328" s="220"/>
    </row>
    <row r="329">
      <c r="G329" s="220"/>
      <c r="H329" s="220"/>
      <c r="I329" s="220"/>
    </row>
    <row r="330">
      <c r="G330" s="220"/>
      <c r="H330" s="220"/>
      <c r="I330" s="220"/>
    </row>
    <row r="331">
      <c r="G331" s="220"/>
      <c r="H331" s="220"/>
      <c r="I331" s="220"/>
    </row>
    <row r="332">
      <c r="G332" s="220"/>
      <c r="H332" s="220"/>
      <c r="I332" s="220"/>
    </row>
    <row r="333">
      <c r="G333" s="220"/>
      <c r="H333" s="220"/>
      <c r="I333" s="220"/>
    </row>
    <row r="334">
      <c r="G334" s="220"/>
      <c r="H334" s="220"/>
      <c r="I334" s="220"/>
    </row>
    <row r="335">
      <c r="G335" s="220"/>
      <c r="H335" s="220"/>
      <c r="I335" s="220"/>
    </row>
    <row r="336">
      <c r="G336" s="220"/>
      <c r="H336" s="220"/>
      <c r="I336" s="220"/>
    </row>
    <row r="337">
      <c r="G337" s="220"/>
      <c r="H337" s="220"/>
      <c r="I337" s="220"/>
    </row>
    <row r="338">
      <c r="G338" s="220"/>
      <c r="H338" s="220"/>
      <c r="I338" s="220"/>
    </row>
    <row r="339">
      <c r="G339" s="220"/>
      <c r="H339" s="220"/>
      <c r="I339" s="220"/>
    </row>
    <row r="340">
      <c r="G340" s="220"/>
      <c r="H340" s="220"/>
      <c r="I340" s="220"/>
    </row>
    <row r="341">
      <c r="G341" s="220"/>
      <c r="H341" s="220"/>
      <c r="I341" s="220"/>
    </row>
    <row r="342">
      <c r="G342" s="220"/>
      <c r="H342" s="220"/>
      <c r="I342" s="220"/>
    </row>
    <row r="343">
      <c r="G343" s="220"/>
      <c r="H343" s="220"/>
      <c r="I343" s="220"/>
    </row>
    <row r="344">
      <c r="G344" s="220"/>
      <c r="H344" s="220"/>
      <c r="I344" s="220"/>
    </row>
    <row r="345">
      <c r="G345" s="220"/>
      <c r="H345" s="220"/>
      <c r="I345" s="220"/>
    </row>
    <row r="346">
      <c r="G346" s="220"/>
      <c r="H346" s="220"/>
      <c r="I346" s="220"/>
    </row>
    <row r="347">
      <c r="G347" s="220"/>
      <c r="H347" s="220"/>
      <c r="I347" s="220"/>
    </row>
    <row r="348">
      <c r="G348" s="220"/>
      <c r="H348" s="220"/>
      <c r="I348" s="220"/>
    </row>
    <row r="349">
      <c r="G349" s="220"/>
      <c r="H349" s="220"/>
      <c r="I349" s="220"/>
    </row>
    <row r="350">
      <c r="G350" s="220"/>
      <c r="H350" s="220"/>
      <c r="I350" s="220"/>
    </row>
    <row r="351">
      <c r="G351" s="220"/>
      <c r="H351" s="220"/>
      <c r="I351" s="220"/>
    </row>
    <row r="352">
      <c r="G352" s="220"/>
      <c r="H352" s="220"/>
      <c r="I352" s="220"/>
    </row>
    <row r="353">
      <c r="G353" s="220"/>
      <c r="H353" s="220"/>
      <c r="I353" s="220"/>
    </row>
    <row r="354">
      <c r="G354" s="220"/>
      <c r="H354" s="220"/>
      <c r="I354" s="220"/>
    </row>
    <row r="355">
      <c r="G355" s="220"/>
      <c r="H355" s="220"/>
      <c r="I355" s="220"/>
    </row>
    <row r="356">
      <c r="G356" s="220"/>
      <c r="H356" s="220"/>
      <c r="I356" s="220"/>
    </row>
    <row r="357">
      <c r="G357" s="220"/>
      <c r="H357" s="220"/>
      <c r="I357" s="220"/>
    </row>
    <row r="358">
      <c r="G358" s="220"/>
      <c r="H358" s="220"/>
      <c r="I358" s="220"/>
    </row>
    <row r="359">
      <c r="G359" s="220"/>
      <c r="H359" s="220"/>
      <c r="I359" s="220"/>
    </row>
    <row r="360">
      <c r="G360" s="220"/>
      <c r="H360" s="220"/>
      <c r="I360" s="220"/>
    </row>
    <row r="361">
      <c r="G361" s="220"/>
      <c r="H361" s="220"/>
      <c r="I361" s="220"/>
    </row>
    <row r="362">
      <c r="G362" s="220"/>
      <c r="H362" s="220"/>
      <c r="I362" s="220"/>
    </row>
    <row r="363">
      <c r="G363" s="220"/>
      <c r="H363" s="220"/>
      <c r="I363" s="220"/>
    </row>
    <row r="364">
      <c r="G364" s="220"/>
      <c r="H364" s="220"/>
      <c r="I364" s="220"/>
    </row>
    <row r="365">
      <c r="G365" s="220"/>
      <c r="H365" s="220"/>
      <c r="I365" s="220"/>
    </row>
    <row r="366">
      <c r="G366" s="220"/>
      <c r="H366" s="220"/>
      <c r="I366" s="220"/>
    </row>
    <row r="367">
      <c r="G367" s="220"/>
      <c r="H367" s="220"/>
      <c r="I367" s="220"/>
    </row>
    <row r="368">
      <c r="G368" s="220"/>
      <c r="H368" s="220"/>
      <c r="I368" s="220"/>
    </row>
    <row r="369">
      <c r="G369" s="220"/>
      <c r="H369" s="220"/>
      <c r="I369" s="220"/>
    </row>
    <row r="370">
      <c r="G370" s="220"/>
      <c r="H370" s="220"/>
      <c r="I370" s="220"/>
    </row>
    <row r="371">
      <c r="G371" s="220"/>
      <c r="H371" s="220"/>
      <c r="I371" s="220"/>
    </row>
    <row r="372">
      <c r="G372" s="220"/>
      <c r="H372" s="220"/>
      <c r="I372" s="220"/>
    </row>
    <row r="373">
      <c r="G373" s="220"/>
      <c r="H373" s="220"/>
      <c r="I373" s="220"/>
    </row>
    <row r="374">
      <c r="G374" s="220"/>
      <c r="H374" s="220"/>
      <c r="I374" s="220"/>
    </row>
    <row r="375">
      <c r="G375" s="220"/>
      <c r="H375" s="220"/>
      <c r="I375" s="220"/>
    </row>
    <row r="376">
      <c r="G376" s="220"/>
      <c r="H376" s="220"/>
      <c r="I376" s="220"/>
    </row>
    <row r="377">
      <c r="G377" s="220"/>
      <c r="H377" s="220"/>
      <c r="I377" s="220"/>
    </row>
    <row r="378">
      <c r="G378" s="220"/>
      <c r="H378" s="220"/>
      <c r="I378" s="220"/>
    </row>
    <row r="379">
      <c r="G379" s="220"/>
      <c r="H379" s="220"/>
      <c r="I379" s="220"/>
    </row>
    <row r="380">
      <c r="G380" s="220"/>
      <c r="H380" s="220"/>
      <c r="I380" s="220"/>
    </row>
    <row r="381">
      <c r="G381" s="220"/>
      <c r="H381" s="220"/>
      <c r="I381" s="220"/>
    </row>
    <row r="382">
      <c r="G382" s="220"/>
      <c r="H382" s="220"/>
      <c r="I382" s="220"/>
    </row>
    <row r="383">
      <c r="G383" s="220"/>
      <c r="H383" s="220"/>
      <c r="I383" s="220"/>
    </row>
    <row r="384">
      <c r="G384" s="220"/>
      <c r="H384" s="220"/>
      <c r="I384" s="220"/>
    </row>
    <row r="385">
      <c r="G385" s="220"/>
      <c r="H385" s="220"/>
      <c r="I385" s="220"/>
    </row>
    <row r="386">
      <c r="G386" s="220"/>
      <c r="H386" s="220"/>
      <c r="I386" s="220"/>
    </row>
    <row r="387">
      <c r="G387" s="220"/>
      <c r="H387" s="220"/>
      <c r="I387" s="220"/>
    </row>
    <row r="388">
      <c r="G388" s="220"/>
      <c r="H388" s="220"/>
      <c r="I388" s="220"/>
    </row>
    <row r="389">
      <c r="G389" s="220"/>
      <c r="H389" s="220"/>
      <c r="I389" s="220"/>
    </row>
    <row r="390">
      <c r="G390" s="220"/>
      <c r="H390" s="220"/>
      <c r="I390" s="220"/>
    </row>
    <row r="391">
      <c r="G391" s="220"/>
      <c r="H391" s="220"/>
      <c r="I391" s="220"/>
    </row>
    <row r="392">
      <c r="G392" s="220"/>
      <c r="H392" s="220"/>
      <c r="I392" s="220"/>
    </row>
    <row r="393">
      <c r="G393" s="220"/>
      <c r="H393" s="220"/>
      <c r="I393" s="220"/>
    </row>
    <row r="394">
      <c r="G394" s="220"/>
      <c r="H394" s="220"/>
      <c r="I394" s="220"/>
    </row>
    <row r="395">
      <c r="G395" s="220"/>
      <c r="H395" s="220"/>
      <c r="I395" s="220"/>
    </row>
    <row r="396">
      <c r="G396" s="220"/>
      <c r="H396" s="220"/>
      <c r="I396" s="220"/>
    </row>
    <row r="397">
      <c r="G397" s="220"/>
      <c r="H397" s="220"/>
      <c r="I397" s="220"/>
    </row>
    <row r="398">
      <c r="G398" s="220"/>
      <c r="H398" s="220"/>
      <c r="I398" s="220"/>
    </row>
    <row r="399">
      <c r="G399" s="220"/>
      <c r="H399" s="220"/>
      <c r="I399" s="220"/>
    </row>
    <row r="400">
      <c r="G400" s="220"/>
      <c r="H400" s="220"/>
      <c r="I400" s="220"/>
    </row>
    <row r="401">
      <c r="G401" s="220"/>
      <c r="H401" s="220"/>
      <c r="I401" s="220"/>
    </row>
    <row r="402">
      <c r="G402" s="220"/>
      <c r="H402" s="220"/>
      <c r="I402" s="220"/>
    </row>
    <row r="403">
      <c r="G403" s="220"/>
      <c r="H403" s="220"/>
      <c r="I403" s="220"/>
    </row>
    <row r="404">
      <c r="G404" s="220"/>
      <c r="H404" s="220"/>
      <c r="I404" s="220"/>
    </row>
    <row r="405">
      <c r="G405" s="220"/>
      <c r="H405" s="220"/>
      <c r="I405" s="220"/>
    </row>
    <row r="406">
      <c r="G406" s="220"/>
      <c r="H406" s="220"/>
      <c r="I406" s="220"/>
    </row>
    <row r="407">
      <c r="G407" s="220"/>
      <c r="H407" s="220"/>
      <c r="I407" s="220"/>
    </row>
    <row r="408">
      <c r="G408" s="220"/>
      <c r="H408" s="220"/>
      <c r="I408" s="220"/>
    </row>
    <row r="409">
      <c r="G409" s="220"/>
      <c r="H409" s="220"/>
      <c r="I409" s="220"/>
    </row>
    <row r="410">
      <c r="G410" s="220"/>
      <c r="H410" s="220"/>
      <c r="I410" s="220"/>
    </row>
    <row r="411">
      <c r="G411" s="220"/>
      <c r="H411" s="220"/>
      <c r="I411" s="220"/>
    </row>
    <row r="412">
      <c r="G412" s="220"/>
      <c r="H412" s="220"/>
      <c r="I412" s="220"/>
    </row>
    <row r="413">
      <c r="G413" s="220"/>
      <c r="H413" s="220"/>
      <c r="I413" s="220"/>
    </row>
    <row r="414">
      <c r="G414" s="220"/>
      <c r="H414" s="220"/>
      <c r="I414" s="220"/>
    </row>
    <row r="415">
      <c r="G415" s="220"/>
      <c r="H415" s="220"/>
      <c r="I415" s="220"/>
    </row>
    <row r="416">
      <c r="G416" s="220"/>
      <c r="H416" s="220"/>
      <c r="I416" s="220"/>
    </row>
    <row r="417">
      <c r="G417" s="220"/>
      <c r="H417" s="220"/>
      <c r="I417" s="220"/>
    </row>
    <row r="418">
      <c r="G418" s="220"/>
      <c r="H418" s="220"/>
      <c r="I418" s="220"/>
    </row>
    <row r="419">
      <c r="G419" s="220"/>
      <c r="H419" s="220"/>
      <c r="I419" s="220"/>
    </row>
    <row r="420">
      <c r="G420" s="220"/>
      <c r="H420" s="220"/>
      <c r="I420" s="220"/>
    </row>
    <row r="421">
      <c r="G421" s="220"/>
      <c r="H421" s="220"/>
      <c r="I421" s="220"/>
    </row>
    <row r="422">
      <c r="G422" s="220"/>
      <c r="H422" s="220"/>
      <c r="I422" s="220"/>
    </row>
    <row r="423">
      <c r="G423" s="220"/>
      <c r="H423" s="220"/>
      <c r="I423" s="220"/>
    </row>
    <row r="424">
      <c r="G424" s="220"/>
      <c r="H424" s="220"/>
      <c r="I424" s="220"/>
    </row>
    <row r="425">
      <c r="G425" s="220"/>
      <c r="H425" s="220"/>
      <c r="I425" s="220"/>
    </row>
    <row r="426">
      <c r="G426" s="220"/>
      <c r="H426" s="220"/>
      <c r="I426" s="220"/>
    </row>
    <row r="427">
      <c r="G427" s="220"/>
      <c r="H427" s="220"/>
      <c r="I427" s="220"/>
    </row>
    <row r="428">
      <c r="G428" s="220"/>
      <c r="H428" s="220"/>
      <c r="I428" s="220"/>
    </row>
    <row r="429">
      <c r="G429" s="220"/>
      <c r="H429" s="220"/>
      <c r="I429" s="220"/>
    </row>
    <row r="430">
      <c r="G430" s="220"/>
      <c r="H430" s="220"/>
      <c r="I430" s="220"/>
    </row>
    <row r="431">
      <c r="G431" s="220"/>
      <c r="H431" s="220"/>
      <c r="I431" s="220"/>
    </row>
    <row r="432">
      <c r="G432" s="220"/>
      <c r="H432" s="220"/>
      <c r="I432" s="220"/>
    </row>
    <row r="433">
      <c r="G433" s="220"/>
      <c r="H433" s="220"/>
      <c r="I433" s="220"/>
    </row>
    <row r="434">
      <c r="G434" s="220"/>
      <c r="H434" s="220"/>
      <c r="I434" s="220"/>
    </row>
    <row r="435">
      <c r="G435" s="220"/>
      <c r="H435" s="220"/>
      <c r="I435" s="220"/>
    </row>
    <row r="436">
      <c r="G436" s="220"/>
      <c r="H436" s="220"/>
      <c r="I436" s="220"/>
    </row>
    <row r="437">
      <c r="G437" s="220"/>
      <c r="H437" s="220"/>
      <c r="I437" s="220"/>
    </row>
    <row r="438">
      <c r="G438" s="220"/>
      <c r="H438" s="220"/>
      <c r="I438" s="220"/>
    </row>
    <row r="439">
      <c r="G439" s="220"/>
      <c r="H439" s="220"/>
      <c r="I439" s="220"/>
    </row>
    <row r="440">
      <c r="G440" s="220"/>
      <c r="H440" s="220"/>
      <c r="I440" s="220"/>
    </row>
    <row r="441">
      <c r="G441" s="220"/>
      <c r="H441" s="220"/>
      <c r="I441" s="220"/>
    </row>
    <row r="442">
      <c r="G442" s="220"/>
      <c r="H442" s="220"/>
      <c r="I442" s="220"/>
    </row>
    <row r="443">
      <c r="G443" s="220"/>
      <c r="H443" s="220"/>
      <c r="I443" s="220"/>
    </row>
    <row r="444">
      <c r="G444" s="220"/>
      <c r="H444" s="220"/>
      <c r="I444" s="220"/>
    </row>
    <row r="445">
      <c r="G445" s="220"/>
      <c r="H445" s="220"/>
      <c r="I445" s="220"/>
    </row>
    <row r="446">
      <c r="G446" s="220"/>
      <c r="H446" s="220"/>
      <c r="I446" s="220"/>
    </row>
    <row r="447">
      <c r="G447" s="220"/>
      <c r="H447" s="220"/>
      <c r="I447" s="220"/>
    </row>
    <row r="448">
      <c r="G448" s="220"/>
      <c r="H448" s="220"/>
      <c r="I448" s="220"/>
    </row>
    <row r="449">
      <c r="G449" s="220"/>
      <c r="H449" s="220"/>
      <c r="I449" s="220"/>
    </row>
    <row r="450">
      <c r="G450" s="220"/>
      <c r="H450" s="220"/>
      <c r="I450" s="220"/>
    </row>
    <row r="451">
      <c r="G451" s="220"/>
      <c r="H451" s="220"/>
      <c r="I451" s="220"/>
    </row>
    <row r="452">
      <c r="G452" s="220"/>
      <c r="H452" s="220"/>
      <c r="I452" s="220"/>
    </row>
    <row r="453">
      <c r="G453" s="220"/>
      <c r="H453" s="220"/>
      <c r="I453" s="220"/>
    </row>
    <row r="454">
      <c r="G454" s="220"/>
      <c r="H454" s="220"/>
      <c r="I454" s="220"/>
    </row>
    <row r="455">
      <c r="G455" s="220"/>
      <c r="H455" s="220"/>
      <c r="I455" s="220"/>
    </row>
    <row r="456">
      <c r="G456" s="220"/>
      <c r="H456" s="220"/>
      <c r="I456" s="220"/>
    </row>
    <row r="457">
      <c r="G457" s="220"/>
      <c r="H457" s="220"/>
      <c r="I457" s="220"/>
    </row>
    <row r="458">
      <c r="G458" s="220"/>
      <c r="H458" s="220"/>
      <c r="I458" s="220"/>
    </row>
    <row r="459">
      <c r="G459" s="220"/>
      <c r="H459" s="220"/>
      <c r="I459" s="220"/>
    </row>
    <row r="460">
      <c r="G460" s="220"/>
      <c r="H460" s="220"/>
      <c r="I460" s="220"/>
    </row>
    <row r="461">
      <c r="G461" s="220"/>
      <c r="H461" s="220"/>
      <c r="I461" s="220"/>
    </row>
    <row r="462">
      <c r="G462" s="220"/>
      <c r="H462" s="220"/>
      <c r="I462" s="220"/>
    </row>
    <row r="463">
      <c r="G463" s="220"/>
      <c r="H463" s="220"/>
      <c r="I463" s="220"/>
    </row>
    <row r="464">
      <c r="G464" s="220"/>
      <c r="H464" s="220"/>
      <c r="I464" s="220"/>
    </row>
    <row r="465">
      <c r="G465" s="220"/>
      <c r="H465" s="220"/>
      <c r="I465" s="220"/>
    </row>
    <row r="466">
      <c r="G466" s="220"/>
      <c r="H466" s="220"/>
      <c r="I466" s="220"/>
    </row>
    <row r="467">
      <c r="G467" s="220"/>
      <c r="H467" s="220"/>
      <c r="I467" s="220"/>
    </row>
    <row r="468">
      <c r="G468" s="220"/>
      <c r="H468" s="220"/>
      <c r="I468" s="220"/>
    </row>
    <row r="469">
      <c r="G469" s="220"/>
      <c r="H469" s="220"/>
      <c r="I469" s="220"/>
    </row>
    <row r="470">
      <c r="G470" s="220"/>
      <c r="H470" s="220"/>
      <c r="I470" s="220"/>
    </row>
    <row r="471">
      <c r="G471" s="220"/>
      <c r="H471" s="220"/>
      <c r="I471" s="220"/>
    </row>
    <row r="472">
      <c r="G472" s="220"/>
      <c r="H472" s="220"/>
      <c r="I472" s="220"/>
    </row>
    <row r="473">
      <c r="G473" s="220"/>
      <c r="H473" s="220"/>
      <c r="I473" s="220"/>
    </row>
    <row r="474">
      <c r="G474" s="220"/>
      <c r="H474" s="220"/>
      <c r="I474" s="220"/>
    </row>
    <row r="475">
      <c r="G475" s="220"/>
      <c r="H475" s="220"/>
      <c r="I475" s="220"/>
    </row>
    <row r="476">
      <c r="G476" s="220"/>
      <c r="H476" s="220"/>
      <c r="I476" s="220"/>
    </row>
    <row r="477">
      <c r="G477" s="220"/>
      <c r="H477" s="220"/>
      <c r="I477" s="220"/>
    </row>
    <row r="478">
      <c r="G478" s="220"/>
      <c r="H478" s="220"/>
      <c r="I478" s="220"/>
    </row>
    <row r="479">
      <c r="G479" s="220"/>
      <c r="H479" s="220"/>
      <c r="I479" s="220"/>
    </row>
    <row r="480">
      <c r="G480" s="220"/>
      <c r="H480" s="220"/>
      <c r="I480" s="220"/>
    </row>
    <row r="481">
      <c r="G481" s="220"/>
      <c r="H481" s="220"/>
      <c r="I481" s="220"/>
    </row>
    <row r="482">
      <c r="G482" s="220"/>
      <c r="H482" s="220"/>
      <c r="I482" s="220"/>
    </row>
    <row r="483">
      <c r="G483" s="220"/>
      <c r="H483" s="220"/>
      <c r="I483" s="220"/>
    </row>
    <row r="484">
      <c r="G484" s="220"/>
      <c r="H484" s="220"/>
      <c r="I484" s="220"/>
    </row>
    <row r="485">
      <c r="G485" s="220"/>
      <c r="H485" s="220"/>
      <c r="I485" s="220"/>
    </row>
    <row r="486">
      <c r="G486" s="220"/>
      <c r="H486" s="220"/>
      <c r="I486" s="220"/>
    </row>
    <row r="487">
      <c r="G487" s="220"/>
      <c r="H487" s="220"/>
      <c r="I487" s="220"/>
    </row>
    <row r="488">
      <c r="G488" s="220"/>
      <c r="H488" s="220"/>
      <c r="I488" s="220"/>
    </row>
    <row r="489">
      <c r="G489" s="220"/>
      <c r="H489" s="220"/>
      <c r="I489" s="220"/>
    </row>
    <row r="490">
      <c r="G490" s="220"/>
      <c r="H490" s="220"/>
      <c r="I490" s="220"/>
    </row>
    <row r="491">
      <c r="G491" s="220"/>
      <c r="H491" s="220"/>
      <c r="I491" s="220"/>
    </row>
    <row r="492">
      <c r="G492" s="220"/>
      <c r="H492" s="220"/>
      <c r="I492" s="220"/>
    </row>
    <row r="493">
      <c r="G493" s="220"/>
      <c r="H493" s="220"/>
      <c r="I493" s="220"/>
    </row>
    <row r="494">
      <c r="G494" s="220"/>
      <c r="H494" s="220"/>
      <c r="I494" s="220"/>
    </row>
    <row r="495">
      <c r="G495" s="220"/>
      <c r="H495" s="220"/>
      <c r="I495" s="220"/>
    </row>
    <row r="496">
      <c r="G496" s="220"/>
      <c r="H496" s="220"/>
      <c r="I496" s="220"/>
    </row>
    <row r="497">
      <c r="G497" s="220"/>
      <c r="H497" s="220"/>
      <c r="I497" s="220"/>
    </row>
    <row r="498">
      <c r="G498" s="220"/>
      <c r="H498" s="220"/>
      <c r="I498" s="220"/>
    </row>
    <row r="499">
      <c r="G499" s="220"/>
      <c r="H499" s="220"/>
      <c r="I499" s="220"/>
    </row>
    <row r="500">
      <c r="G500" s="220"/>
      <c r="H500" s="220"/>
      <c r="I500" s="220"/>
    </row>
    <row r="501">
      <c r="G501" s="220"/>
      <c r="H501" s="220"/>
      <c r="I501" s="220"/>
    </row>
    <row r="502">
      <c r="G502" s="220"/>
      <c r="H502" s="220"/>
      <c r="I502" s="220"/>
    </row>
    <row r="503">
      <c r="G503" s="220"/>
      <c r="H503" s="220"/>
      <c r="I503" s="220"/>
    </row>
    <row r="504">
      <c r="G504" s="220"/>
      <c r="H504" s="220"/>
      <c r="I504" s="220"/>
    </row>
    <row r="505">
      <c r="G505" s="220"/>
      <c r="H505" s="220"/>
      <c r="I505" s="220"/>
    </row>
    <row r="506">
      <c r="G506" s="220"/>
      <c r="H506" s="220"/>
      <c r="I506" s="220"/>
    </row>
    <row r="507">
      <c r="G507" s="220"/>
      <c r="H507" s="220"/>
      <c r="I507" s="220"/>
    </row>
    <row r="508">
      <c r="G508" s="220"/>
      <c r="H508" s="220"/>
      <c r="I508" s="220"/>
    </row>
    <row r="509">
      <c r="G509" s="220"/>
      <c r="H509" s="220"/>
      <c r="I509" s="220"/>
    </row>
    <row r="510">
      <c r="G510" s="220"/>
      <c r="H510" s="220"/>
      <c r="I510" s="220"/>
    </row>
    <row r="511">
      <c r="G511" s="220"/>
      <c r="H511" s="220"/>
      <c r="I511" s="220"/>
    </row>
    <row r="512">
      <c r="G512" s="220"/>
      <c r="H512" s="220"/>
      <c r="I512" s="220"/>
    </row>
    <row r="513">
      <c r="G513" s="220"/>
      <c r="H513" s="220"/>
      <c r="I513" s="220"/>
    </row>
    <row r="514">
      <c r="G514" s="220"/>
      <c r="H514" s="220"/>
      <c r="I514" s="220"/>
    </row>
    <row r="515">
      <c r="G515" s="220"/>
      <c r="H515" s="220"/>
      <c r="I515" s="220"/>
    </row>
    <row r="516">
      <c r="G516" s="220"/>
      <c r="H516" s="220"/>
      <c r="I516" s="220"/>
    </row>
    <row r="517">
      <c r="G517" s="220"/>
      <c r="H517" s="220"/>
      <c r="I517" s="220"/>
    </row>
    <row r="518">
      <c r="G518" s="220"/>
      <c r="H518" s="220"/>
      <c r="I518" s="220"/>
    </row>
    <row r="519">
      <c r="G519" s="220"/>
      <c r="H519" s="220"/>
      <c r="I519" s="220"/>
    </row>
    <row r="520">
      <c r="G520" s="220"/>
      <c r="H520" s="220"/>
      <c r="I520" s="220"/>
    </row>
    <row r="521">
      <c r="G521" s="220"/>
      <c r="H521" s="220"/>
      <c r="I521" s="220"/>
    </row>
    <row r="522">
      <c r="G522" s="220"/>
      <c r="H522" s="220"/>
      <c r="I522" s="220"/>
    </row>
    <row r="523">
      <c r="G523" s="220"/>
      <c r="H523" s="220"/>
      <c r="I523" s="220"/>
    </row>
    <row r="524">
      <c r="G524" s="220"/>
      <c r="H524" s="220"/>
      <c r="I524" s="220"/>
    </row>
    <row r="525">
      <c r="G525" s="220"/>
      <c r="H525" s="220"/>
      <c r="I525" s="220"/>
    </row>
    <row r="526">
      <c r="G526" s="220"/>
      <c r="H526" s="220"/>
      <c r="I526" s="220"/>
    </row>
    <row r="527">
      <c r="G527" s="220"/>
      <c r="H527" s="220"/>
      <c r="I527" s="220"/>
    </row>
    <row r="528">
      <c r="G528" s="220"/>
      <c r="H528" s="220"/>
      <c r="I528" s="220"/>
    </row>
    <row r="529">
      <c r="G529" s="220"/>
      <c r="H529" s="220"/>
      <c r="I529" s="220"/>
    </row>
    <row r="530">
      <c r="G530" s="220"/>
      <c r="H530" s="220"/>
      <c r="I530" s="220"/>
    </row>
    <row r="531">
      <c r="G531" s="220"/>
      <c r="H531" s="220"/>
      <c r="I531" s="220"/>
    </row>
    <row r="532">
      <c r="G532" s="220"/>
      <c r="H532" s="220"/>
      <c r="I532" s="220"/>
    </row>
    <row r="533">
      <c r="G533" s="220"/>
      <c r="H533" s="220"/>
      <c r="I533" s="220"/>
    </row>
    <row r="534">
      <c r="G534" s="220"/>
      <c r="H534" s="220"/>
      <c r="I534" s="220"/>
    </row>
    <row r="535">
      <c r="G535" s="220"/>
      <c r="H535" s="220"/>
      <c r="I535" s="220"/>
    </row>
    <row r="536">
      <c r="G536" s="220"/>
      <c r="H536" s="220"/>
      <c r="I536" s="220"/>
    </row>
    <row r="537">
      <c r="G537" s="220"/>
      <c r="H537" s="220"/>
      <c r="I537" s="220"/>
    </row>
    <row r="538">
      <c r="G538" s="220"/>
      <c r="H538" s="220"/>
      <c r="I538" s="220"/>
    </row>
    <row r="539">
      <c r="G539" s="220"/>
      <c r="H539" s="220"/>
      <c r="I539" s="220"/>
    </row>
    <row r="540">
      <c r="G540" s="220"/>
      <c r="H540" s="220"/>
      <c r="I540" s="220"/>
    </row>
    <row r="541">
      <c r="G541" s="220"/>
      <c r="H541" s="220"/>
      <c r="I541" s="220"/>
    </row>
    <row r="542">
      <c r="G542" s="220"/>
      <c r="H542" s="220"/>
      <c r="I542" s="220"/>
    </row>
    <row r="543">
      <c r="G543" s="220"/>
      <c r="H543" s="220"/>
      <c r="I543" s="220"/>
    </row>
    <row r="544">
      <c r="G544" s="220"/>
      <c r="H544" s="220"/>
      <c r="I544" s="220"/>
    </row>
    <row r="545">
      <c r="G545" s="220"/>
      <c r="H545" s="220"/>
      <c r="I545" s="220"/>
    </row>
    <row r="546">
      <c r="G546" s="220"/>
      <c r="H546" s="220"/>
      <c r="I546" s="220"/>
    </row>
    <row r="547">
      <c r="G547" s="220"/>
      <c r="H547" s="220"/>
      <c r="I547" s="220"/>
    </row>
    <row r="548">
      <c r="G548" s="220"/>
      <c r="H548" s="220"/>
      <c r="I548" s="220"/>
    </row>
    <row r="549">
      <c r="G549" s="220"/>
      <c r="H549" s="220"/>
      <c r="I549" s="220"/>
    </row>
    <row r="550">
      <c r="G550" s="220"/>
      <c r="H550" s="220"/>
      <c r="I550" s="220"/>
    </row>
    <row r="551">
      <c r="G551" s="220"/>
      <c r="H551" s="220"/>
      <c r="I551" s="220"/>
    </row>
    <row r="552">
      <c r="G552" s="220"/>
      <c r="H552" s="220"/>
      <c r="I552" s="220"/>
    </row>
    <row r="553">
      <c r="G553" s="220"/>
      <c r="H553" s="220"/>
      <c r="I553" s="220"/>
    </row>
    <row r="554">
      <c r="G554" s="220"/>
      <c r="H554" s="220"/>
      <c r="I554" s="220"/>
    </row>
    <row r="555">
      <c r="G555" s="220"/>
      <c r="H555" s="220"/>
      <c r="I555" s="220"/>
    </row>
    <row r="556">
      <c r="G556" s="220"/>
      <c r="H556" s="220"/>
      <c r="I556" s="220"/>
    </row>
    <row r="557">
      <c r="G557" s="220"/>
      <c r="H557" s="220"/>
      <c r="I557" s="220"/>
    </row>
    <row r="558">
      <c r="G558" s="220"/>
      <c r="H558" s="220"/>
      <c r="I558" s="220"/>
    </row>
    <row r="559">
      <c r="G559" s="220"/>
      <c r="H559" s="220"/>
      <c r="I559" s="220"/>
    </row>
    <row r="560">
      <c r="G560" s="220"/>
      <c r="H560" s="220"/>
      <c r="I560" s="220"/>
    </row>
    <row r="561">
      <c r="G561" s="220"/>
      <c r="H561" s="220"/>
      <c r="I561" s="220"/>
    </row>
    <row r="562">
      <c r="G562" s="220"/>
      <c r="H562" s="220"/>
      <c r="I562" s="220"/>
    </row>
    <row r="563">
      <c r="G563" s="220"/>
      <c r="H563" s="220"/>
      <c r="I563" s="220"/>
    </row>
    <row r="564">
      <c r="G564" s="220"/>
      <c r="H564" s="220"/>
      <c r="I564" s="220"/>
    </row>
    <row r="565">
      <c r="G565" s="220"/>
      <c r="H565" s="220"/>
      <c r="I565" s="220"/>
    </row>
    <row r="566">
      <c r="G566" s="220"/>
      <c r="H566" s="220"/>
      <c r="I566" s="220"/>
    </row>
    <row r="567">
      <c r="G567" s="220"/>
      <c r="H567" s="220"/>
      <c r="I567" s="220"/>
    </row>
    <row r="568">
      <c r="G568" s="220"/>
      <c r="H568" s="220"/>
      <c r="I568" s="220"/>
    </row>
    <row r="569">
      <c r="G569" s="220"/>
      <c r="H569" s="220"/>
      <c r="I569" s="220"/>
    </row>
    <row r="570">
      <c r="G570" s="220"/>
      <c r="H570" s="220"/>
      <c r="I570" s="220"/>
    </row>
    <row r="571">
      <c r="G571" s="220"/>
      <c r="H571" s="220"/>
      <c r="I571" s="220"/>
    </row>
    <row r="572">
      <c r="G572" s="220"/>
      <c r="H572" s="220"/>
      <c r="I572" s="220"/>
    </row>
    <row r="573">
      <c r="G573" s="220"/>
      <c r="H573" s="220"/>
      <c r="I573" s="220"/>
    </row>
    <row r="574">
      <c r="G574" s="220"/>
      <c r="H574" s="220"/>
      <c r="I574" s="220"/>
    </row>
    <row r="575">
      <c r="G575" s="220"/>
      <c r="H575" s="220"/>
      <c r="I575" s="220"/>
    </row>
    <row r="576">
      <c r="G576" s="220"/>
      <c r="H576" s="220"/>
      <c r="I576" s="220"/>
    </row>
    <row r="577">
      <c r="G577" s="220"/>
      <c r="H577" s="220"/>
      <c r="I577" s="220"/>
    </row>
    <row r="578">
      <c r="G578" s="220"/>
      <c r="H578" s="220"/>
      <c r="I578" s="220"/>
    </row>
    <row r="579">
      <c r="G579" s="220"/>
      <c r="H579" s="220"/>
      <c r="I579" s="220"/>
    </row>
    <row r="580">
      <c r="G580" s="220"/>
      <c r="H580" s="220"/>
      <c r="I580" s="220"/>
    </row>
    <row r="581">
      <c r="G581" s="220"/>
      <c r="H581" s="220"/>
      <c r="I581" s="220"/>
    </row>
    <row r="582">
      <c r="G582" s="220"/>
      <c r="H582" s="220"/>
      <c r="I582" s="220"/>
    </row>
    <row r="583">
      <c r="G583" s="220"/>
      <c r="H583" s="220"/>
      <c r="I583" s="220"/>
    </row>
    <row r="584">
      <c r="G584" s="220"/>
      <c r="H584" s="220"/>
      <c r="I584" s="220"/>
    </row>
    <row r="585">
      <c r="G585" s="220"/>
      <c r="H585" s="220"/>
      <c r="I585" s="220"/>
    </row>
    <row r="586">
      <c r="G586" s="220"/>
      <c r="H586" s="220"/>
      <c r="I586" s="220"/>
    </row>
    <row r="587">
      <c r="G587" s="220"/>
      <c r="H587" s="220"/>
      <c r="I587" s="220"/>
    </row>
    <row r="588">
      <c r="G588" s="220"/>
      <c r="H588" s="220"/>
      <c r="I588" s="220"/>
    </row>
    <row r="589">
      <c r="G589" s="220"/>
      <c r="H589" s="220"/>
      <c r="I589" s="220"/>
    </row>
    <row r="590">
      <c r="G590" s="220"/>
      <c r="H590" s="220"/>
      <c r="I590" s="220"/>
    </row>
    <row r="591">
      <c r="G591" s="220"/>
      <c r="H591" s="220"/>
      <c r="I591" s="220"/>
    </row>
    <row r="592">
      <c r="G592" s="220"/>
      <c r="H592" s="220"/>
      <c r="I592" s="220"/>
    </row>
    <row r="593">
      <c r="G593" s="220"/>
      <c r="H593" s="220"/>
      <c r="I593" s="220"/>
    </row>
    <row r="594">
      <c r="G594" s="220"/>
      <c r="H594" s="220"/>
      <c r="I594" s="220"/>
    </row>
    <row r="595">
      <c r="G595" s="220"/>
      <c r="H595" s="220"/>
      <c r="I595" s="220"/>
    </row>
    <row r="596">
      <c r="G596" s="220"/>
      <c r="H596" s="220"/>
      <c r="I596" s="220"/>
    </row>
    <row r="597">
      <c r="G597" s="220"/>
      <c r="H597" s="220"/>
      <c r="I597" s="220"/>
    </row>
    <row r="598">
      <c r="G598" s="220"/>
      <c r="H598" s="220"/>
      <c r="I598" s="220"/>
    </row>
    <row r="599">
      <c r="G599" s="220"/>
      <c r="H599" s="220"/>
      <c r="I599" s="220"/>
    </row>
    <row r="600">
      <c r="G600" s="220"/>
      <c r="H600" s="220"/>
      <c r="I600" s="220"/>
    </row>
    <row r="601">
      <c r="G601" s="220"/>
      <c r="H601" s="220"/>
      <c r="I601" s="220"/>
    </row>
    <row r="602">
      <c r="G602" s="220"/>
      <c r="H602" s="220"/>
      <c r="I602" s="220"/>
    </row>
    <row r="603">
      <c r="G603" s="220"/>
      <c r="H603" s="220"/>
      <c r="I603" s="220"/>
    </row>
    <row r="604">
      <c r="G604" s="220"/>
      <c r="H604" s="220"/>
      <c r="I604" s="220"/>
    </row>
    <row r="605">
      <c r="G605" s="220"/>
      <c r="H605" s="220"/>
      <c r="I605" s="220"/>
    </row>
    <row r="606">
      <c r="G606" s="220"/>
      <c r="H606" s="220"/>
      <c r="I606" s="220"/>
    </row>
    <row r="607">
      <c r="G607" s="220"/>
      <c r="H607" s="220"/>
      <c r="I607" s="220"/>
    </row>
    <row r="608">
      <c r="G608" s="220"/>
      <c r="H608" s="220"/>
      <c r="I608" s="220"/>
    </row>
    <row r="609">
      <c r="G609" s="220"/>
      <c r="H609" s="220"/>
      <c r="I609" s="220"/>
    </row>
    <row r="610">
      <c r="G610" s="220"/>
      <c r="H610" s="220"/>
      <c r="I610" s="220"/>
    </row>
    <row r="611">
      <c r="G611" s="220"/>
      <c r="H611" s="220"/>
      <c r="I611" s="220"/>
    </row>
    <row r="612">
      <c r="G612" s="220"/>
      <c r="H612" s="220"/>
      <c r="I612" s="220"/>
    </row>
    <row r="613">
      <c r="G613" s="220"/>
      <c r="H613" s="220"/>
      <c r="I613" s="220"/>
    </row>
    <row r="614">
      <c r="G614" s="220"/>
      <c r="H614" s="220"/>
      <c r="I614" s="220"/>
    </row>
    <row r="615">
      <c r="G615" s="220"/>
      <c r="H615" s="220"/>
      <c r="I615" s="220"/>
    </row>
    <row r="616">
      <c r="G616" s="220"/>
      <c r="H616" s="220"/>
      <c r="I616" s="220"/>
    </row>
    <row r="617">
      <c r="G617" s="220"/>
      <c r="H617" s="220"/>
      <c r="I617" s="220"/>
    </row>
    <row r="618">
      <c r="G618" s="220"/>
      <c r="H618" s="220"/>
      <c r="I618" s="220"/>
    </row>
    <row r="619">
      <c r="G619" s="220"/>
      <c r="H619" s="220"/>
      <c r="I619" s="220"/>
    </row>
    <row r="620">
      <c r="G620" s="220"/>
      <c r="H620" s="220"/>
      <c r="I620" s="220"/>
    </row>
    <row r="621">
      <c r="G621" s="220"/>
      <c r="H621" s="220"/>
      <c r="I621" s="220"/>
    </row>
    <row r="622">
      <c r="G622" s="220"/>
      <c r="H622" s="220"/>
      <c r="I622" s="220"/>
    </row>
    <row r="623">
      <c r="G623" s="220"/>
      <c r="H623" s="220"/>
      <c r="I623" s="220"/>
    </row>
    <row r="624">
      <c r="G624" s="220"/>
      <c r="H624" s="220"/>
      <c r="I624" s="220"/>
    </row>
    <row r="625">
      <c r="G625" s="220"/>
      <c r="H625" s="220"/>
      <c r="I625" s="220"/>
    </row>
    <row r="626">
      <c r="G626" s="220"/>
      <c r="H626" s="220"/>
      <c r="I626" s="220"/>
    </row>
    <row r="627">
      <c r="G627" s="220"/>
      <c r="H627" s="220"/>
      <c r="I627" s="220"/>
    </row>
    <row r="628">
      <c r="G628" s="220"/>
      <c r="H628" s="220"/>
      <c r="I628" s="220"/>
    </row>
    <row r="629">
      <c r="G629" s="220"/>
      <c r="H629" s="220"/>
      <c r="I629" s="220"/>
    </row>
    <row r="630">
      <c r="G630" s="220"/>
      <c r="H630" s="220"/>
      <c r="I630" s="220"/>
    </row>
    <row r="631">
      <c r="G631" s="220"/>
      <c r="H631" s="220"/>
      <c r="I631" s="220"/>
    </row>
    <row r="632">
      <c r="G632" s="220"/>
      <c r="H632" s="220"/>
      <c r="I632" s="220"/>
    </row>
    <row r="633">
      <c r="G633" s="220"/>
      <c r="H633" s="220"/>
      <c r="I633" s="220"/>
    </row>
    <row r="634">
      <c r="G634" s="220"/>
      <c r="H634" s="220"/>
      <c r="I634" s="220"/>
    </row>
    <row r="635">
      <c r="G635" s="220"/>
      <c r="H635" s="220"/>
      <c r="I635" s="220"/>
    </row>
    <row r="636">
      <c r="G636" s="220"/>
      <c r="H636" s="220"/>
      <c r="I636" s="220"/>
    </row>
    <row r="637">
      <c r="G637" s="220"/>
      <c r="H637" s="220"/>
      <c r="I637" s="220"/>
    </row>
    <row r="638">
      <c r="G638" s="220"/>
      <c r="H638" s="220"/>
      <c r="I638" s="220"/>
    </row>
    <row r="639">
      <c r="G639" s="220"/>
      <c r="H639" s="220"/>
      <c r="I639" s="220"/>
    </row>
    <row r="640">
      <c r="G640" s="220"/>
      <c r="H640" s="220"/>
      <c r="I640" s="220"/>
    </row>
    <row r="641">
      <c r="G641" s="220"/>
      <c r="H641" s="220"/>
      <c r="I641" s="220"/>
    </row>
    <row r="642">
      <c r="G642" s="220"/>
      <c r="H642" s="220"/>
      <c r="I642" s="220"/>
    </row>
    <row r="643">
      <c r="G643" s="220"/>
      <c r="H643" s="220"/>
      <c r="I643" s="220"/>
    </row>
    <row r="644">
      <c r="G644" s="220"/>
      <c r="H644" s="220"/>
      <c r="I644" s="220"/>
    </row>
    <row r="645">
      <c r="G645" s="220"/>
      <c r="H645" s="220"/>
      <c r="I645" s="220"/>
    </row>
    <row r="646">
      <c r="G646" s="220"/>
      <c r="H646" s="220"/>
      <c r="I646" s="220"/>
    </row>
    <row r="647">
      <c r="G647" s="220"/>
      <c r="H647" s="220"/>
      <c r="I647" s="220"/>
    </row>
    <row r="648">
      <c r="G648" s="220"/>
      <c r="H648" s="220"/>
      <c r="I648" s="220"/>
    </row>
    <row r="649">
      <c r="G649" s="220"/>
      <c r="H649" s="220"/>
      <c r="I649" s="220"/>
    </row>
    <row r="650">
      <c r="G650" s="220"/>
      <c r="H650" s="220"/>
      <c r="I650" s="220"/>
    </row>
    <row r="651">
      <c r="G651" s="220"/>
      <c r="H651" s="220"/>
      <c r="I651" s="220"/>
    </row>
    <row r="652">
      <c r="G652" s="220"/>
      <c r="H652" s="220"/>
      <c r="I652" s="220"/>
    </row>
    <row r="653">
      <c r="G653" s="220"/>
      <c r="H653" s="220"/>
      <c r="I653" s="220"/>
    </row>
    <row r="654">
      <c r="G654" s="220"/>
      <c r="H654" s="220"/>
      <c r="I654" s="220"/>
    </row>
    <row r="655">
      <c r="G655" s="220"/>
      <c r="H655" s="220"/>
      <c r="I655" s="220"/>
    </row>
    <row r="656">
      <c r="G656" s="220"/>
      <c r="H656" s="220"/>
      <c r="I656" s="220"/>
    </row>
    <row r="657">
      <c r="G657" s="220"/>
      <c r="H657" s="220"/>
      <c r="I657" s="220"/>
    </row>
    <row r="658">
      <c r="G658" s="220"/>
      <c r="H658" s="220"/>
      <c r="I658" s="220"/>
    </row>
    <row r="659">
      <c r="G659" s="220"/>
      <c r="H659" s="220"/>
      <c r="I659" s="220"/>
    </row>
    <row r="660">
      <c r="G660" s="220"/>
      <c r="H660" s="220"/>
      <c r="I660" s="220"/>
    </row>
    <row r="661">
      <c r="G661" s="220"/>
      <c r="H661" s="220"/>
      <c r="I661" s="220"/>
    </row>
    <row r="662">
      <c r="G662" s="220"/>
      <c r="H662" s="220"/>
      <c r="I662" s="220"/>
    </row>
    <row r="663">
      <c r="G663" s="220"/>
      <c r="H663" s="220"/>
      <c r="I663" s="220"/>
    </row>
    <row r="664">
      <c r="G664" s="220"/>
      <c r="H664" s="220"/>
      <c r="I664" s="220"/>
    </row>
    <row r="665">
      <c r="G665" s="220"/>
      <c r="H665" s="220"/>
      <c r="I665" s="220"/>
    </row>
    <row r="666">
      <c r="G666" s="220"/>
      <c r="H666" s="220"/>
      <c r="I666" s="220"/>
    </row>
    <row r="667">
      <c r="G667" s="220"/>
      <c r="H667" s="220"/>
      <c r="I667" s="220"/>
    </row>
    <row r="668">
      <c r="G668" s="220"/>
      <c r="H668" s="220"/>
      <c r="I668" s="220"/>
    </row>
    <row r="669">
      <c r="G669" s="220"/>
      <c r="H669" s="220"/>
      <c r="I669" s="220"/>
    </row>
    <row r="670">
      <c r="G670" s="220"/>
      <c r="H670" s="220"/>
      <c r="I670" s="220"/>
    </row>
    <row r="671">
      <c r="G671" s="220"/>
      <c r="H671" s="220"/>
      <c r="I671" s="220"/>
    </row>
    <row r="672">
      <c r="G672" s="220"/>
      <c r="H672" s="220"/>
      <c r="I672" s="220"/>
    </row>
    <row r="673">
      <c r="G673" s="220"/>
      <c r="H673" s="220"/>
      <c r="I673" s="220"/>
    </row>
    <row r="674">
      <c r="G674" s="220"/>
      <c r="H674" s="220"/>
      <c r="I674" s="220"/>
    </row>
    <row r="675">
      <c r="G675" s="220"/>
      <c r="H675" s="220"/>
      <c r="I675" s="220"/>
    </row>
    <row r="676">
      <c r="G676" s="220"/>
      <c r="H676" s="220"/>
      <c r="I676" s="220"/>
    </row>
    <row r="677">
      <c r="G677" s="220"/>
      <c r="H677" s="220"/>
      <c r="I677" s="220"/>
    </row>
    <row r="678">
      <c r="G678" s="220"/>
      <c r="H678" s="220"/>
      <c r="I678" s="220"/>
    </row>
    <row r="679">
      <c r="G679" s="220"/>
      <c r="H679" s="220"/>
      <c r="I679" s="220"/>
    </row>
    <row r="680">
      <c r="G680" s="220"/>
      <c r="H680" s="220"/>
      <c r="I680" s="220"/>
    </row>
    <row r="681">
      <c r="G681" s="220"/>
      <c r="H681" s="220"/>
      <c r="I681" s="220"/>
    </row>
    <row r="682">
      <c r="G682" s="220"/>
      <c r="H682" s="220"/>
      <c r="I682" s="220"/>
    </row>
    <row r="683">
      <c r="G683" s="220"/>
      <c r="H683" s="220"/>
      <c r="I683" s="220"/>
    </row>
    <row r="684">
      <c r="G684" s="220"/>
      <c r="H684" s="220"/>
      <c r="I684" s="220"/>
    </row>
    <row r="685">
      <c r="G685" s="220"/>
      <c r="H685" s="220"/>
      <c r="I685" s="220"/>
    </row>
    <row r="686">
      <c r="G686" s="220"/>
      <c r="H686" s="220"/>
      <c r="I686" s="220"/>
    </row>
    <row r="687">
      <c r="G687" s="220"/>
      <c r="H687" s="220"/>
      <c r="I687" s="220"/>
    </row>
    <row r="688">
      <c r="G688" s="220"/>
      <c r="H688" s="220"/>
      <c r="I688" s="220"/>
    </row>
    <row r="689">
      <c r="G689" s="220"/>
      <c r="H689" s="220"/>
      <c r="I689" s="220"/>
    </row>
    <row r="690">
      <c r="G690" s="220"/>
      <c r="H690" s="220"/>
      <c r="I690" s="220"/>
    </row>
    <row r="691">
      <c r="G691" s="220"/>
      <c r="H691" s="220"/>
      <c r="I691" s="220"/>
    </row>
    <row r="692">
      <c r="G692" s="220"/>
      <c r="H692" s="220"/>
      <c r="I692" s="220"/>
    </row>
    <row r="693">
      <c r="G693" s="220"/>
      <c r="H693" s="220"/>
      <c r="I693" s="220"/>
    </row>
    <row r="694">
      <c r="G694" s="220"/>
      <c r="H694" s="220"/>
      <c r="I694" s="220"/>
    </row>
    <row r="695">
      <c r="G695" s="220"/>
      <c r="H695" s="220"/>
      <c r="I695" s="220"/>
    </row>
    <row r="696">
      <c r="G696" s="220"/>
      <c r="H696" s="220"/>
      <c r="I696" s="220"/>
    </row>
    <row r="697">
      <c r="G697" s="220"/>
      <c r="H697" s="220"/>
      <c r="I697" s="220"/>
    </row>
    <row r="698">
      <c r="G698" s="220"/>
      <c r="H698" s="220"/>
      <c r="I698" s="220"/>
    </row>
    <row r="699">
      <c r="G699" s="220"/>
      <c r="H699" s="220"/>
      <c r="I699" s="220"/>
    </row>
    <row r="700">
      <c r="G700" s="220"/>
      <c r="H700" s="220"/>
      <c r="I700" s="220"/>
    </row>
    <row r="701">
      <c r="G701" s="220"/>
      <c r="H701" s="220"/>
      <c r="I701" s="220"/>
    </row>
    <row r="702">
      <c r="G702" s="220"/>
      <c r="H702" s="220"/>
      <c r="I702" s="220"/>
    </row>
    <row r="703">
      <c r="G703" s="220"/>
      <c r="H703" s="220"/>
      <c r="I703" s="220"/>
    </row>
    <row r="704">
      <c r="G704" s="220"/>
      <c r="H704" s="220"/>
      <c r="I704" s="220"/>
    </row>
    <row r="705">
      <c r="G705" s="220"/>
      <c r="H705" s="220"/>
      <c r="I705" s="220"/>
    </row>
    <row r="706">
      <c r="G706" s="220"/>
      <c r="H706" s="220"/>
      <c r="I706" s="220"/>
    </row>
    <row r="707">
      <c r="G707" s="220"/>
      <c r="H707" s="220"/>
      <c r="I707" s="220"/>
    </row>
    <row r="708">
      <c r="G708" s="220"/>
      <c r="H708" s="220"/>
      <c r="I708" s="220"/>
    </row>
    <row r="709">
      <c r="G709" s="220"/>
      <c r="H709" s="220"/>
      <c r="I709" s="220"/>
    </row>
    <row r="710">
      <c r="G710" s="220"/>
      <c r="H710" s="220"/>
      <c r="I710" s="220"/>
    </row>
    <row r="711">
      <c r="G711" s="220"/>
      <c r="H711" s="220"/>
      <c r="I711" s="220"/>
    </row>
    <row r="712">
      <c r="G712" s="220"/>
      <c r="H712" s="220"/>
      <c r="I712" s="220"/>
    </row>
    <row r="713">
      <c r="G713" s="220"/>
      <c r="H713" s="220"/>
      <c r="I713" s="220"/>
    </row>
    <row r="714">
      <c r="G714" s="220"/>
      <c r="H714" s="220"/>
      <c r="I714" s="220"/>
    </row>
    <row r="715">
      <c r="G715" s="220"/>
      <c r="H715" s="220"/>
      <c r="I715" s="220"/>
    </row>
    <row r="716">
      <c r="G716" s="220"/>
      <c r="H716" s="220"/>
      <c r="I716" s="220"/>
    </row>
    <row r="717">
      <c r="G717" s="220"/>
      <c r="H717" s="220"/>
      <c r="I717" s="220"/>
    </row>
    <row r="718">
      <c r="G718" s="220"/>
      <c r="H718" s="220"/>
      <c r="I718" s="220"/>
    </row>
    <row r="719">
      <c r="G719" s="220"/>
      <c r="H719" s="220"/>
      <c r="I719" s="220"/>
    </row>
    <row r="720">
      <c r="G720" s="220"/>
      <c r="H720" s="220"/>
      <c r="I720" s="220"/>
    </row>
    <row r="721">
      <c r="G721" s="220"/>
      <c r="H721" s="220"/>
      <c r="I721" s="220"/>
    </row>
    <row r="722">
      <c r="G722" s="220"/>
      <c r="H722" s="220"/>
      <c r="I722" s="220"/>
    </row>
    <row r="723">
      <c r="G723" s="220"/>
      <c r="H723" s="220"/>
      <c r="I723" s="220"/>
    </row>
    <row r="724">
      <c r="G724" s="220"/>
      <c r="H724" s="220"/>
      <c r="I724" s="220"/>
    </row>
    <row r="725">
      <c r="G725" s="220"/>
      <c r="H725" s="220"/>
      <c r="I725" s="220"/>
    </row>
    <row r="726">
      <c r="G726" s="220"/>
      <c r="H726" s="220"/>
      <c r="I726" s="220"/>
    </row>
    <row r="727">
      <c r="G727" s="220"/>
      <c r="H727" s="220"/>
      <c r="I727" s="220"/>
    </row>
    <row r="728">
      <c r="G728" s="220"/>
      <c r="H728" s="220"/>
      <c r="I728" s="220"/>
    </row>
    <row r="729">
      <c r="G729" s="220"/>
      <c r="H729" s="220"/>
      <c r="I729" s="220"/>
    </row>
    <row r="730">
      <c r="G730" s="220"/>
      <c r="H730" s="220"/>
      <c r="I730" s="220"/>
    </row>
    <row r="731">
      <c r="G731" s="220"/>
      <c r="H731" s="220"/>
      <c r="I731" s="220"/>
    </row>
    <row r="732">
      <c r="G732" s="220"/>
      <c r="H732" s="220"/>
      <c r="I732" s="220"/>
    </row>
    <row r="733">
      <c r="G733" s="220"/>
      <c r="H733" s="220"/>
      <c r="I733" s="220"/>
    </row>
    <row r="734">
      <c r="G734" s="220"/>
      <c r="H734" s="220"/>
      <c r="I734" s="220"/>
    </row>
    <row r="735">
      <c r="G735" s="220"/>
      <c r="H735" s="220"/>
      <c r="I735" s="220"/>
    </row>
    <row r="736">
      <c r="G736" s="220"/>
      <c r="H736" s="220"/>
      <c r="I736" s="220"/>
    </row>
    <row r="737">
      <c r="G737" s="220"/>
      <c r="H737" s="220"/>
      <c r="I737" s="220"/>
    </row>
    <row r="738">
      <c r="G738" s="220"/>
      <c r="H738" s="220"/>
      <c r="I738" s="220"/>
    </row>
    <row r="739">
      <c r="G739" s="220"/>
      <c r="H739" s="220"/>
      <c r="I739" s="220"/>
    </row>
    <row r="740">
      <c r="G740" s="220"/>
      <c r="H740" s="220"/>
      <c r="I740" s="220"/>
    </row>
    <row r="741">
      <c r="G741" s="220"/>
      <c r="H741" s="220"/>
      <c r="I741" s="220"/>
    </row>
    <row r="742">
      <c r="G742" s="220"/>
      <c r="H742" s="220"/>
      <c r="I742" s="220"/>
    </row>
    <row r="743">
      <c r="G743" s="220"/>
      <c r="H743" s="220"/>
      <c r="I743" s="220"/>
    </row>
    <row r="744">
      <c r="G744" s="220"/>
      <c r="H744" s="220"/>
      <c r="I744" s="220"/>
    </row>
    <row r="745">
      <c r="G745" s="220"/>
      <c r="H745" s="220"/>
      <c r="I745" s="220"/>
    </row>
    <row r="746">
      <c r="G746" s="220"/>
      <c r="H746" s="220"/>
      <c r="I746" s="220"/>
    </row>
    <row r="747">
      <c r="G747" s="220"/>
      <c r="H747" s="220"/>
      <c r="I747" s="220"/>
    </row>
    <row r="748">
      <c r="G748" s="220"/>
      <c r="H748" s="220"/>
      <c r="I748" s="220"/>
    </row>
    <row r="749">
      <c r="G749" s="220"/>
      <c r="H749" s="220"/>
      <c r="I749" s="220"/>
    </row>
    <row r="750">
      <c r="G750" s="220"/>
      <c r="H750" s="220"/>
      <c r="I750" s="220"/>
    </row>
    <row r="751">
      <c r="G751" s="220"/>
      <c r="H751" s="220"/>
      <c r="I751" s="220"/>
    </row>
    <row r="752">
      <c r="G752" s="220"/>
      <c r="H752" s="220"/>
      <c r="I752" s="220"/>
    </row>
    <row r="753">
      <c r="G753" s="220"/>
      <c r="H753" s="220"/>
      <c r="I753" s="220"/>
    </row>
    <row r="754">
      <c r="G754" s="220"/>
      <c r="H754" s="220"/>
      <c r="I754" s="220"/>
    </row>
    <row r="755">
      <c r="G755" s="220"/>
      <c r="H755" s="220"/>
      <c r="I755" s="220"/>
    </row>
    <row r="756">
      <c r="G756" s="220"/>
      <c r="H756" s="220"/>
      <c r="I756" s="220"/>
    </row>
    <row r="757">
      <c r="G757" s="220"/>
      <c r="H757" s="220"/>
      <c r="I757" s="220"/>
    </row>
    <row r="758">
      <c r="G758" s="220"/>
      <c r="H758" s="220"/>
      <c r="I758" s="220"/>
    </row>
    <row r="759">
      <c r="G759" s="220"/>
      <c r="H759" s="220"/>
      <c r="I759" s="220"/>
    </row>
    <row r="760">
      <c r="G760" s="220"/>
      <c r="H760" s="220"/>
      <c r="I760" s="220"/>
    </row>
    <row r="761">
      <c r="G761" s="220"/>
      <c r="H761" s="220"/>
      <c r="I761" s="220"/>
    </row>
    <row r="762">
      <c r="G762" s="220"/>
      <c r="H762" s="220"/>
      <c r="I762" s="220"/>
    </row>
    <row r="763">
      <c r="G763" s="220"/>
      <c r="H763" s="220"/>
      <c r="I763" s="220"/>
    </row>
    <row r="764">
      <c r="G764" s="220"/>
      <c r="H764" s="220"/>
      <c r="I764" s="220"/>
    </row>
    <row r="765">
      <c r="G765" s="220"/>
      <c r="H765" s="220"/>
      <c r="I765" s="220"/>
    </row>
    <row r="766">
      <c r="G766" s="220"/>
      <c r="H766" s="220"/>
      <c r="I766" s="220"/>
    </row>
    <row r="767">
      <c r="G767" s="220"/>
      <c r="H767" s="220"/>
      <c r="I767" s="220"/>
    </row>
    <row r="768">
      <c r="G768" s="220"/>
      <c r="H768" s="220"/>
      <c r="I768" s="220"/>
    </row>
    <row r="769">
      <c r="G769" s="220"/>
      <c r="H769" s="220"/>
      <c r="I769" s="220"/>
    </row>
    <row r="770">
      <c r="G770" s="220"/>
      <c r="H770" s="220"/>
      <c r="I770" s="220"/>
    </row>
    <row r="771">
      <c r="G771" s="220"/>
      <c r="H771" s="220"/>
      <c r="I771" s="220"/>
    </row>
    <row r="772">
      <c r="G772" s="220"/>
      <c r="H772" s="220"/>
      <c r="I772" s="220"/>
    </row>
    <row r="773">
      <c r="G773" s="220"/>
      <c r="H773" s="220"/>
      <c r="I773" s="220"/>
    </row>
    <row r="774">
      <c r="G774" s="220"/>
      <c r="H774" s="220"/>
      <c r="I774" s="220"/>
    </row>
    <row r="775">
      <c r="G775" s="220"/>
      <c r="H775" s="220"/>
      <c r="I775" s="220"/>
    </row>
    <row r="776">
      <c r="G776" s="220"/>
      <c r="H776" s="220"/>
      <c r="I776" s="220"/>
    </row>
    <row r="777">
      <c r="G777" s="220"/>
      <c r="H777" s="220"/>
      <c r="I777" s="220"/>
    </row>
    <row r="778">
      <c r="G778" s="220"/>
      <c r="H778" s="220"/>
      <c r="I778" s="220"/>
    </row>
    <row r="779">
      <c r="G779" s="220"/>
      <c r="H779" s="220"/>
      <c r="I779" s="220"/>
    </row>
    <row r="780">
      <c r="G780" s="220"/>
      <c r="H780" s="220"/>
      <c r="I780" s="220"/>
    </row>
    <row r="781">
      <c r="G781" s="220"/>
      <c r="H781" s="220"/>
      <c r="I781" s="220"/>
    </row>
    <row r="782">
      <c r="G782" s="220"/>
      <c r="H782" s="220"/>
      <c r="I782" s="220"/>
    </row>
    <row r="783">
      <c r="G783" s="220"/>
      <c r="H783" s="220"/>
      <c r="I783" s="220"/>
    </row>
    <row r="784">
      <c r="G784" s="220"/>
      <c r="H784" s="220"/>
      <c r="I784" s="220"/>
    </row>
    <row r="785">
      <c r="G785" s="220"/>
      <c r="H785" s="220"/>
      <c r="I785" s="220"/>
    </row>
    <row r="786">
      <c r="G786" s="220"/>
      <c r="H786" s="220"/>
      <c r="I786" s="220"/>
    </row>
    <row r="787">
      <c r="G787" s="220"/>
      <c r="H787" s="220"/>
      <c r="I787" s="220"/>
    </row>
    <row r="788">
      <c r="G788" s="220"/>
      <c r="H788" s="220"/>
      <c r="I788" s="220"/>
    </row>
    <row r="789">
      <c r="G789" s="220"/>
      <c r="H789" s="220"/>
      <c r="I789" s="220"/>
    </row>
    <row r="790">
      <c r="G790" s="220"/>
      <c r="H790" s="220"/>
      <c r="I790" s="220"/>
    </row>
    <row r="791">
      <c r="G791" s="220"/>
      <c r="H791" s="220"/>
      <c r="I791" s="220"/>
    </row>
    <row r="792">
      <c r="G792" s="220"/>
      <c r="H792" s="220"/>
      <c r="I792" s="220"/>
    </row>
    <row r="793">
      <c r="G793" s="220"/>
      <c r="H793" s="220"/>
      <c r="I793" s="220"/>
    </row>
    <row r="794">
      <c r="G794" s="220"/>
      <c r="H794" s="220"/>
      <c r="I794" s="220"/>
    </row>
    <row r="795">
      <c r="G795" s="220"/>
      <c r="H795" s="220"/>
      <c r="I795" s="220"/>
    </row>
    <row r="796">
      <c r="G796" s="220"/>
      <c r="H796" s="220"/>
      <c r="I796" s="220"/>
    </row>
    <row r="797">
      <c r="G797" s="220"/>
      <c r="H797" s="220"/>
      <c r="I797" s="220"/>
    </row>
    <row r="798">
      <c r="G798" s="220"/>
      <c r="H798" s="220"/>
      <c r="I798" s="220"/>
    </row>
    <row r="799">
      <c r="G799" s="220"/>
      <c r="H799" s="220"/>
      <c r="I799" s="220"/>
    </row>
    <row r="800">
      <c r="G800" s="220"/>
      <c r="H800" s="220"/>
      <c r="I800" s="220"/>
    </row>
    <row r="801">
      <c r="G801" s="220"/>
      <c r="H801" s="220"/>
      <c r="I801" s="220"/>
    </row>
    <row r="802">
      <c r="G802" s="220"/>
      <c r="H802" s="220"/>
      <c r="I802" s="220"/>
    </row>
    <row r="803">
      <c r="G803" s="220"/>
      <c r="H803" s="220"/>
      <c r="I803" s="220"/>
    </row>
    <row r="804">
      <c r="G804" s="220"/>
      <c r="H804" s="220"/>
      <c r="I804" s="220"/>
    </row>
    <row r="805">
      <c r="G805" s="220"/>
      <c r="H805" s="220"/>
      <c r="I805" s="220"/>
    </row>
    <row r="806">
      <c r="G806" s="220"/>
      <c r="H806" s="220"/>
      <c r="I806" s="220"/>
    </row>
    <row r="807">
      <c r="G807" s="220"/>
      <c r="H807" s="220"/>
      <c r="I807" s="220"/>
    </row>
    <row r="808">
      <c r="G808" s="220"/>
      <c r="H808" s="220"/>
      <c r="I808" s="220"/>
    </row>
    <row r="809">
      <c r="G809" s="220"/>
      <c r="H809" s="220"/>
      <c r="I809" s="220"/>
    </row>
    <row r="810">
      <c r="G810" s="220"/>
      <c r="H810" s="220"/>
      <c r="I810" s="220"/>
    </row>
    <row r="811">
      <c r="G811" s="220"/>
      <c r="H811" s="220"/>
      <c r="I811" s="220"/>
    </row>
    <row r="812">
      <c r="G812" s="220"/>
      <c r="H812" s="220"/>
      <c r="I812" s="220"/>
    </row>
    <row r="813">
      <c r="G813" s="220"/>
      <c r="H813" s="220"/>
      <c r="I813" s="220"/>
    </row>
    <row r="814">
      <c r="G814" s="220"/>
      <c r="H814" s="220"/>
      <c r="I814" s="220"/>
    </row>
    <row r="815">
      <c r="G815" s="220"/>
      <c r="H815" s="220"/>
      <c r="I815" s="220"/>
    </row>
    <row r="816">
      <c r="G816" s="220"/>
      <c r="H816" s="220"/>
      <c r="I816" s="220"/>
    </row>
    <row r="817">
      <c r="G817" s="220"/>
      <c r="H817" s="220"/>
      <c r="I817" s="220"/>
    </row>
    <row r="818">
      <c r="G818" s="220"/>
      <c r="H818" s="220"/>
      <c r="I818" s="220"/>
    </row>
    <row r="819">
      <c r="G819" s="220"/>
      <c r="H819" s="220"/>
      <c r="I819" s="220"/>
    </row>
    <row r="820">
      <c r="G820" s="220"/>
      <c r="H820" s="220"/>
      <c r="I820" s="220"/>
    </row>
    <row r="821">
      <c r="G821" s="220"/>
      <c r="H821" s="220"/>
      <c r="I821" s="220"/>
    </row>
    <row r="822">
      <c r="G822" s="220"/>
      <c r="H822" s="220"/>
      <c r="I822" s="220"/>
    </row>
    <row r="823">
      <c r="G823" s="220"/>
      <c r="H823" s="220"/>
      <c r="I823" s="220"/>
    </row>
    <row r="824">
      <c r="G824" s="220"/>
      <c r="H824" s="220"/>
      <c r="I824" s="220"/>
    </row>
    <row r="825">
      <c r="G825" s="220"/>
      <c r="H825" s="220"/>
      <c r="I825" s="220"/>
    </row>
    <row r="826">
      <c r="G826" s="220"/>
      <c r="H826" s="220"/>
      <c r="I826" s="220"/>
    </row>
    <row r="827">
      <c r="G827" s="220"/>
      <c r="H827" s="220"/>
      <c r="I827" s="220"/>
    </row>
    <row r="828">
      <c r="G828" s="220"/>
      <c r="H828" s="220"/>
      <c r="I828" s="220"/>
    </row>
    <row r="829">
      <c r="G829" s="220"/>
      <c r="H829" s="220"/>
      <c r="I829" s="220"/>
    </row>
    <row r="830">
      <c r="G830" s="220"/>
      <c r="H830" s="220"/>
      <c r="I830" s="220"/>
    </row>
    <row r="831">
      <c r="G831" s="220"/>
      <c r="H831" s="220"/>
      <c r="I831" s="220"/>
    </row>
    <row r="832">
      <c r="G832" s="220"/>
      <c r="H832" s="220"/>
      <c r="I832" s="220"/>
    </row>
    <row r="833">
      <c r="G833" s="220"/>
      <c r="H833" s="220"/>
      <c r="I833" s="220"/>
    </row>
    <row r="834">
      <c r="G834" s="220"/>
      <c r="H834" s="220"/>
      <c r="I834" s="220"/>
    </row>
    <row r="835">
      <c r="G835" s="220"/>
      <c r="H835" s="220"/>
      <c r="I835" s="220"/>
    </row>
    <row r="836">
      <c r="G836" s="220"/>
      <c r="H836" s="220"/>
      <c r="I836" s="220"/>
    </row>
    <row r="837">
      <c r="G837" s="220"/>
      <c r="H837" s="220"/>
      <c r="I837" s="220"/>
    </row>
    <row r="838">
      <c r="G838" s="220"/>
      <c r="H838" s="220"/>
      <c r="I838" s="220"/>
    </row>
    <row r="839">
      <c r="G839" s="220"/>
      <c r="H839" s="220"/>
      <c r="I839" s="220"/>
    </row>
    <row r="840">
      <c r="G840" s="220"/>
      <c r="H840" s="220"/>
      <c r="I840" s="220"/>
    </row>
    <row r="841">
      <c r="G841" s="220"/>
      <c r="H841" s="220"/>
      <c r="I841" s="220"/>
    </row>
    <row r="842">
      <c r="G842" s="220"/>
      <c r="H842" s="220"/>
      <c r="I842" s="220"/>
    </row>
    <row r="843">
      <c r="G843" s="220"/>
      <c r="H843" s="220"/>
      <c r="I843" s="220"/>
    </row>
    <row r="844">
      <c r="G844" s="220"/>
      <c r="H844" s="220"/>
      <c r="I844" s="220"/>
    </row>
    <row r="845">
      <c r="G845" s="220"/>
      <c r="H845" s="220"/>
      <c r="I845" s="220"/>
    </row>
    <row r="846">
      <c r="G846" s="220"/>
      <c r="H846" s="220"/>
      <c r="I846" s="220"/>
    </row>
    <row r="847">
      <c r="G847" s="220"/>
      <c r="H847" s="220"/>
      <c r="I847" s="220"/>
    </row>
    <row r="848">
      <c r="G848" s="220"/>
      <c r="H848" s="220"/>
      <c r="I848" s="220"/>
    </row>
    <row r="849">
      <c r="G849" s="220"/>
      <c r="H849" s="220"/>
      <c r="I849" s="220"/>
    </row>
    <row r="850">
      <c r="G850" s="220"/>
      <c r="H850" s="220"/>
      <c r="I850" s="220"/>
    </row>
    <row r="851">
      <c r="G851" s="220"/>
      <c r="H851" s="220"/>
      <c r="I851" s="220"/>
    </row>
    <row r="852">
      <c r="G852" s="220"/>
      <c r="H852" s="220"/>
      <c r="I852" s="220"/>
    </row>
    <row r="853">
      <c r="G853" s="220"/>
      <c r="H853" s="220"/>
      <c r="I853" s="220"/>
    </row>
    <row r="854">
      <c r="G854" s="220"/>
      <c r="H854" s="220"/>
      <c r="I854" s="220"/>
    </row>
    <row r="855">
      <c r="G855" s="220"/>
      <c r="H855" s="220"/>
      <c r="I855" s="220"/>
    </row>
    <row r="856">
      <c r="G856" s="220"/>
      <c r="H856" s="220"/>
      <c r="I856" s="220"/>
    </row>
  </sheetData>
  <drawing r:id="rId1"/>
</worksheet>
</file>