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M1" sheetId="1" r:id="rId4"/>
    <sheet state="visible" name="OV1" sheetId="2" r:id="rId5"/>
    <sheet state="visible" name="MR1" sheetId="3" r:id="rId6"/>
  </sheets>
  <definedNames/>
  <calcPr/>
</workbook>
</file>

<file path=xl/sharedStrings.xml><?xml version="1.0" encoding="utf-8"?>
<sst xmlns="http://schemas.openxmlformats.org/spreadsheetml/2006/main" count="171" uniqueCount="105">
  <si>
    <t>Informações qualitativas sobre os requerimentos prudenciais [KM1]</t>
  </si>
  <si>
    <t>a</t>
  </si>
  <si>
    <t>b</t>
  </si>
  <si>
    <t>c</t>
  </si>
  <si>
    <t>d</t>
  </si>
  <si>
    <t>e</t>
  </si>
  <si>
    <t>Valores em R$</t>
  </si>
  <si>
    <t>Set-22</t>
  </si>
  <si>
    <t>Dez-21</t>
  </si>
  <si>
    <t>Set-21</t>
  </si>
  <si>
    <t>Capital regulamentar - valores</t>
  </si>
  <si>
    <t>1</t>
  </si>
  <si>
    <t>Capital Principal</t>
  </si>
  <si>
    <t>2</t>
  </si>
  <si>
    <t>Nível I</t>
  </si>
  <si>
    <t>3</t>
  </si>
  <si>
    <t>Patrimônio de Referência (PR)</t>
  </si>
  <si>
    <t>3b</t>
  </si>
  <si>
    <t>Excesso dos recursos aplicados no ativo permanente</t>
  </si>
  <si>
    <t>3c</t>
  </si>
  <si>
    <t>Destaque do PR</t>
  </si>
  <si>
    <t>Ativos ponderados pelo risco (RWA) - valores</t>
  </si>
  <si>
    <t>4</t>
  </si>
  <si>
    <t>RWA total</t>
  </si>
  <si>
    <t>Capital regulamentar como proporção do RWA</t>
  </si>
  <si>
    <t>5</t>
  </si>
  <si>
    <t>Índice de Capital Principal (ICP)</t>
  </si>
  <si>
    <t>6</t>
  </si>
  <si>
    <t>Índice de Nível 1 (%)</t>
  </si>
  <si>
    <t>7</t>
  </si>
  <si>
    <t>Índice de Basileia</t>
  </si>
  <si>
    <t>Adicional de Capital Principal (ACP) como proporção do RWA</t>
  </si>
  <si>
    <t>8</t>
  </si>
  <si>
    <t>Adicional de Conservação de Capital Principal - ACPConservação (%)</t>
  </si>
  <si>
    <t>9</t>
  </si>
  <si>
    <t>Adicional Contracíclico de Capital Principal - ACPContracíclico (%)</t>
  </si>
  <si>
    <t>10</t>
  </si>
  <si>
    <t>Adicional de Importância Sistêmica de Capital Principal - ACPSistêmico (%)</t>
  </si>
  <si>
    <t>11</t>
  </si>
  <si>
    <t>ACP total (%)</t>
  </si>
  <si>
    <t>12</t>
  </si>
  <si>
    <t>Margem excedente de Capital Principal (%)</t>
  </si>
  <si>
    <t>Razão de Alavancagem (RA)</t>
  </si>
  <si>
    <t>13</t>
  </si>
  <si>
    <t>Exposição total</t>
  </si>
  <si>
    <t>NA</t>
  </si>
  <si>
    <t>14</t>
  </si>
  <si>
    <t>RA (%)</t>
  </si>
  <si>
    <t>Indicador Liquidez de Curto Prazo (LCR)</t>
  </si>
  <si>
    <t>15</t>
  </si>
  <si>
    <t>Total de Ativos de Alta Liquidez (HQLA)</t>
  </si>
  <si>
    <t>16</t>
  </si>
  <si>
    <t>Total de saídas líquidas de caixa</t>
  </si>
  <si>
    <t>17</t>
  </si>
  <si>
    <t>LCR (%)</t>
  </si>
  <si>
    <t>Indicador de Liquidez de Longo Prazo (NSFR)</t>
  </si>
  <si>
    <t>18</t>
  </si>
  <si>
    <t>Recursos estáveis disponíveis (ASF)</t>
  </si>
  <si>
    <t>19</t>
  </si>
  <si>
    <t>Recursos estáveis requeridos (RSF)</t>
  </si>
  <si>
    <t>20</t>
  </si>
  <si>
    <t>NSFR (%)</t>
  </si>
  <si>
    <t>Comentários</t>
  </si>
  <si>
    <t>Informações quantitativas sobre os requerimentos prudenciais [OV1]</t>
  </si>
  <si>
    <t>RWA</t>
  </si>
  <si>
    <t>Requerimento 
mínimo de PR</t>
  </si>
  <si>
    <t>0</t>
  </si>
  <si>
    <t xml:space="preserve">Risco de Crédito - tratamento mediante abordagem padronizada </t>
  </si>
  <si>
    <t xml:space="preserve">Risco de crédito em sentido estrito </t>
  </si>
  <si>
    <t xml:space="preserve">Risco de crédito de contraparte (CCR) </t>
  </si>
  <si>
    <t xml:space="preserve">Do qual: mediante abordagem padronizada para risco de crédito de contraparte (SA-CCR) </t>
  </si>
  <si>
    <t>7a</t>
  </si>
  <si>
    <t xml:space="preserve">Do qual: mediante uso da abordagem CEM </t>
  </si>
  <si>
    <t xml:space="preserve">Do qual: mediante demais abordagens </t>
  </si>
  <si>
    <t xml:space="preserve">Acréscimo relativo ao ajuste associado à variação do valor dos derivativos em decorrência de variação da qualidade creditícia da contraparte (CVA) </t>
  </si>
  <si>
    <t xml:space="preserve">Cotas de fundos não consolidados - ativos subjacentes identificados </t>
  </si>
  <si>
    <t xml:space="preserve">Cotas de fundos não consolidados - ativos subjacentes inferidos conforme regulamento do fundo </t>
  </si>
  <si>
    <t xml:space="preserve">Cotas de fundos não consolidados - ativos subjacentes não identificados </t>
  </si>
  <si>
    <t xml:space="preserve">Exposições de securitização - requerimento calculado mediante abordagem padronizada </t>
  </si>
  <si>
    <t>25</t>
  </si>
  <si>
    <t xml:space="preserve">Valores referentes às exposições não deduzidas no cálculo do PR </t>
  </si>
  <si>
    <t xml:space="preserve">Risco de mercado </t>
  </si>
  <si>
    <t>21</t>
  </si>
  <si>
    <t xml:space="preserve">Do qual: requerimento calculado mediante abordagem padronizada (RWAMPAD) </t>
  </si>
  <si>
    <t>22</t>
  </si>
  <si>
    <t xml:space="preserve">Do qual: requerimento calculado mediante modelo interno (RWAMINT) </t>
  </si>
  <si>
    <t>24</t>
  </si>
  <si>
    <t xml:space="preserve">Risco operacional </t>
  </si>
  <si>
    <t>27</t>
  </si>
  <si>
    <t>Total (2+6+10+12+13+14+16+25+20+24)</t>
  </si>
  <si>
    <t>Abordagem padronizada - fatores de risco associados ao risco de mercado [MR1]</t>
  </si>
  <si>
    <r>
      <rPr>
        <rFont val="Arial"/>
        <color rgb="FFFFFFFF"/>
        <sz val="9.0"/>
      </rPr>
      <t>RWA</t>
    </r>
    <r>
      <rPr>
        <rFont val="Arial"/>
        <color rgb="FFFFFFFF"/>
        <sz val="6.0"/>
      </rPr>
      <t>MPAD</t>
    </r>
  </si>
  <si>
    <t xml:space="preserve">Taxas de juros </t>
  </si>
  <si>
    <t>1a</t>
  </si>
  <si>
    <r>
      <rPr>
        <rFont val="Arial"/>
        <color rgb="FF434343"/>
      </rPr>
      <t xml:space="preserve">    Taxas de juros prefixada denominadas em Real (RWA</t>
    </r>
    <r>
      <rPr>
        <rFont val="Arial"/>
        <color rgb="FF434343"/>
        <sz val="6.0"/>
      </rPr>
      <t>JUR1</t>
    </r>
    <r>
      <rPr>
        <rFont val="Arial"/>
        <color rgb="FF434343"/>
      </rPr>
      <t>)</t>
    </r>
  </si>
  <si>
    <t>1b</t>
  </si>
  <si>
    <r>
      <rPr>
        <rFont val="Arial"/>
        <color rgb="FF434343"/>
      </rPr>
      <t xml:space="preserve">    Taxas dos cupons de moeda estrangeira (RWA</t>
    </r>
    <r>
      <rPr>
        <rFont val="Arial"/>
        <color rgb="FF434343"/>
        <sz val="6.0"/>
      </rPr>
      <t>JUR2</t>
    </r>
    <r>
      <rPr>
        <rFont val="Arial"/>
        <color rgb="FF434343"/>
      </rPr>
      <t xml:space="preserve">) </t>
    </r>
  </si>
  <si>
    <t>1c</t>
  </si>
  <si>
    <r>
      <rPr>
        <rFont val="Arial"/>
        <color rgb="FF434343"/>
      </rPr>
      <t xml:space="preserve">    Taxas dos cupons de índices de preço (RWA</t>
    </r>
    <r>
      <rPr>
        <rFont val="Arial"/>
        <color rgb="FF434343"/>
        <sz val="6.0"/>
      </rPr>
      <t>JUR3</t>
    </r>
    <r>
      <rPr>
        <rFont val="Arial"/>
        <color rgb="FF434343"/>
      </rPr>
      <t xml:space="preserve">) </t>
    </r>
  </si>
  <si>
    <t>1d</t>
  </si>
  <si>
    <r>
      <rPr>
        <rFont val="Arial"/>
        <color rgb="FF434343"/>
      </rPr>
      <t xml:space="preserve">    Taxas dos cupons de taxas de juros (RWA</t>
    </r>
    <r>
      <rPr>
        <rFont val="Arial"/>
        <color rgb="FF434343"/>
        <sz val="6.0"/>
      </rPr>
      <t>JUR4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</si>
  <si>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ações (RWA</t>
    </r>
    <r>
      <rPr>
        <rFont val="Arial"/>
        <color rgb="FF434343"/>
        <sz val="6.0"/>
      </rPr>
      <t>acs</t>
    </r>
    <r>
      <rPr>
        <rFont val="Arial"/>
        <color rgb="FF434343"/>
      </rPr>
      <t xml:space="preserve">) </t>
    </r>
  </si>
  <si>
    <r>
      <rPr>
        <rFont val="Arial"/>
        <color rgb="FF434343"/>
      </rPr>
      <t>Taxas de câmbio (RWA</t>
    </r>
    <r>
      <rPr>
        <rFont val="Arial"/>
        <color rgb="FF434343"/>
        <sz val="6.0"/>
      </rPr>
      <t>cam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</si>
  <si>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mercadorias (commodities) (RWA</t>
    </r>
    <r>
      <rPr>
        <rFont val="Arial"/>
        <color rgb="FF434343"/>
        <sz val="6.0"/>
      </rPr>
      <t>com</t>
    </r>
    <r>
      <rPr>
        <rFont val="Arial"/>
        <color rgb="FF434343"/>
      </rPr>
      <t xml:space="preserve">) </t>
    </r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</si>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</sst>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-d"/>
    <numFmt numFmtId="165" formatCode="#,##0.00;(#,##0.00)"/>
    <numFmt numFmtId="166" formatCode="#,##0;(#,##0)"/>
    <numFmt numFmtId="167" formatCode="#,##0.00000;(#,##0.00000)"/>
  </numFmts>
  <fonts count="19">
    <font>
      <sz val="10.0"/>
      <color rgb="FF000000"/>
      <name val="Arial"/>
      <scheme val="minor"/>
    </font>
    <font>
      <sz val="12.0"/>
      <color theme="1"/>
      <name val="Arial"/>
    </font>
    <font>
      <sz val="9.0"/>
      <color theme="0"/>
      <name val="Arial"/>
    </font>
    <font>
      <sz val="10.0"/>
      <color theme="0"/>
      <name val="Arial"/>
    </font>
    <font>
      <sz val="10.0"/>
      <color rgb="FFFFFFFF"/>
      <name val="Arial"/>
    </font>
    <font>
      <sz val="9.0"/>
      <color rgb="FFFFFFFF"/>
      <name val="Arial"/>
    </font>
    <font>
      <color theme="1"/>
      <name val="Arial"/>
    </font>
    <font>
      <b/>
      <color rgb="FFFFFFFF"/>
      <name val="Arial"/>
    </font>
    <font>
      <b/>
      <color theme="0"/>
      <name val="Arial"/>
    </font>
    <font>
      <b/>
      <color rgb="FFFFFFFF"/>
      <name val="Arial"/>
      <scheme val="minor"/>
    </font>
    <font>
      <b/>
      <color rgb="FF9900FF"/>
      <name val="Arial"/>
    </font>
    <font>
      <b/>
      <color rgb="FF4C0677"/>
      <name val="Arial"/>
    </font>
    <font>
      <color theme="1"/>
      <name val="Arial"/>
      <scheme val="minor"/>
    </font>
    <font>
      <color rgb="FF434343"/>
      <name val="Arial"/>
    </font>
    <font>
      <color rgb="FF434343"/>
      <name val="Arial"/>
      <scheme val="minor"/>
    </font>
    <font>
      <b/>
      <color rgb="FF434343"/>
      <name val="Arial"/>
      <scheme val="minor"/>
    </font>
    <font>
      <sz val="9.0"/>
      <color rgb="FF434343"/>
      <name val="Arial"/>
      <scheme val="minor"/>
    </font>
    <font/>
    <font>
      <b/>
      <color rgb="FF43434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C0677"/>
        <bgColor rgb="FF4C0677"/>
      </patternFill>
    </fill>
  </fills>
  <borders count="5">
    <border/>
    <border>
      <top style="thin">
        <color rgb="FF999999"/>
      </top>
    </border>
    <border>
      <bottom style="thin">
        <color rgb="FFFFFFFF"/>
      </bottom>
    </border>
    <border>
      <top style="thin">
        <color rgb="FF666666"/>
      </top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0"/>
    </xf>
    <xf borderId="0" fillId="2" fontId="2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center" wrapText="0"/>
    </xf>
    <xf borderId="0" fillId="2" fontId="4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2" fontId="2" numFmtId="49" xfId="0" applyAlignment="1" applyFont="1" applyNumberFormat="1">
      <alignment horizontal="left" readingOrder="0" shrinkToFit="0" vertical="center" wrapText="0"/>
    </xf>
    <xf borderId="0" fillId="2" fontId="5" numFmtId="49" xfId="0" applyAlignment="1" applyFont="1" applyNumberFormat="1">
      <alignment horizontal="left" readingOrder="0" shrinkToFit="0" vertical="bottom" wrapText="0"/>
    </xf>
    <xf borderId="0" fillId="2" fontId="6" numFmtId="49" xfId="0" applyAlignment="1" applyFont="1" applyNumberFormat="1">
      <alignment readingOrder="0" shrinkToFit="0" wrapText="1"/>
    </xf>
    <xf borderId="0" fillId="2" fontId="7" numFmtId="0" xfId="0" applyAlignment="1" applyFont="1">
      <alignment horizontal="center" readingOrder="0"/>
    </xf>
    <xf borderId="0" fillId="2" fontId="7" numFmtId="164" xfId="0" applyAlignment="1" applyFont="1" applyNumberFormat="1">
      <alignment horizontal="center" readingOrder="0"/>
    </xf>
    <xf borderId="0" fillId="2" fontId="8" numFmtId="164" xfId="0" applyAlignment="1" applyFont="1" applyNumberFormat="1">
      <alignment horizontal="center" readingOrder="0"/>
    </xf>
    <xf borderId="0" fillId="2" fontId="9" numFmtId="49" xfId="0" applyAlignment="1" applyFont="1" applyNumberFormat="1">
      <alignment horizontal="center" readingOrder="0" shrinkToFit="0" vertical="center" wrapText="1"/>
    </xf>
    <xf borderId="0" fillId="0" fontId="10" numFmtId="49" xfId="0" applyAlignment="1" applyFont="1" applyNumberFormat="1">
      <alignment horizontal="left" readingOrder="0"/>
    </xf>
    <xf borderId="0" fillId="0" fontId="11" numFmtId="49" xfId="0" applyAlignment="1" applyFont="1" applyNumberFormat="1">
      <alignment horizontal="left" readingOrder="0"/>
    </xf>
    <xf borderId="0" fillId="0" fontId="6" numFmtId="49" xfId="0" applyAlignment="1" applyFont="1" applyNumberFormat="1">
      <alignment readingOrder="0" shrinkToFit="0" wrapText="1"/>
    </xf>
    <xf borderId="0" fillId="0" fontId="6" numFmtId="165" xfId="0" applyAlignment="1" applyFont="1" applyNumberFormat="1">
      <alignment horizontal="left" readingOrder="0" vertical="center"/>
    </xf>
    <xf borderId="0" fillId="0" fontId="12" numFmtId="165" xfId="0" applyAlignment="1" applyFont="1" applyNumberFormat="1">
      <alignment horizontal="left" readingOrder="0" shrinkToFit="0" vertical="center" wrapText="1"/>
    </xf>
    <xf borderId="0" fillId="0" fontId="13" numFmtId="49" xfId="0" applyAlignment="1" applyFont="1" applyNumberFormat="1">
      <alignment horizontal="center" readingOrder="0" shrinkToFit="0" wrapText="1"/>
    </xf>
    <xf borderId="0" fillId="0" fontId="13" numFmtId="49" xfId="0" applyAlignment="1" applyFont="1" applyNumberFormat="1">
      <alignment readingOrder="0" shrinkToFit="0" wrapText="1"/>
    </xf>
    <xf borderId="0" fillId="0" fontId="13" numFmtId="166" xfId="0" applyAlignment="1" applyFont="1" applyNumberFormat="1">
      <alignment horizontal="left" readingOrder="0" vertical="center"/>
    </xf>
    <xf borderId="0" fillId="0" fontId="14" numFmtId="166" xfId="0" applyAlignment="1" applyFont="1" applyNumberFormat="1">
      <alignment horizontal="left" readingOrder="0" shrinkToFit="0" vertical="center" wrapText="1"/>
    </xf>
    <xf borderId="0" fillId="0" fontId="13" numFmtId="165" xfId="0" applyAlignment="1" applyFont="1" applyNumberFormat="1">
      <alignment horizontal="left" readingOrder="0" vertical="center"/>
    </xf>
    <xf borderId="1" fillId="0" fontId="11" numFmtId="49" xfId="0" applyAlignment="1" applyBorder="1" applyFont="1" applyNumberFormat="1">
      <alignment horizontal="left" readingOrder="0"/>
    </xf>
    <xf borderId="1" fillId="0" fontId="6" numFmtId="49" xfId="0" applyAlignment="1" applyBorder="1" applyFont="1" applyNumberFormat="1">
      <alignment readingOrder="0" shrinkToFit="0" wrapText="1"/>
    </xf>
    <xf borderId="1" fillId="0" fontId="6" numFmtId="166" xfId="0" applyAlignment="1" applyBorder="1" applyFont="1" applyNumberFormat="1">
      <alignment horizontal="left" readingOrder="0" vertical="center"/>
    </xf>
    <xf borderId="1" fillId="0" fontId="12" numFmtId="166" xfId="0" applyAlignment="1" applyBorder="1" applyFont="1" applyNumberFormat="1">
      <alignment horizontal="left" readingOrder="0" shrinkToFit="0" vertical="center" wrapText="1"/>
    </xf>
    <xf borderId="1" fillId="0" fontId="6" numFmtId="10" xfId="0" applyAlignment="1" applyBorder="1" applyFont="1" applyNumberFormat="1">
      <alignment horizontal="left" readingOrder="0" vertical="center"/>
    </xf>
    <xf borderId="0" fillId="0" fontId="13" numFmtId="10" xfId="0" applyAlignment="1" applyFont="1" applyNumberFormat="1">
      <alignment horizontal="left" readingOrder="0" vertical="center"/>
    </xf>
    <xf borderId="0" fillId="0" fontId="14" numFmtId="10" xfId="0" applyAlignment="1" applyFont="1" applyNumberFormat="1">
      <alignment horizontal="left" readingOrder="0" shrinkToFit="0" vertical="center" wrapText="1"/>
    </xf>
    <xf borderId="0" fillId="0" fontId="13" numFmtId="49" xfId="0" applyAlignment="1" applyFont="1" applyNumberFormat="1">
      <alignment readingOrder="0" vertical="bottom"/>
    </xf>
    <xf borderId="0" fillId="0" fontId="12" numFmtId="49" xfId="0" applyAlignment="1" applyFont="1" applyNumberFormat="1">
      <alignment horizontal="center" shrinkToFit="0" vertical="center" wrapText="1"/>
    </xf>
    <xf borderId="0" fillId="0" fontId="12" numFmtId="49" xfId="0" applyAlignment="1" applyFont="1" applyNumberFormat="1">
      <alignment shrinkToFit="0" vertical="center" wrapText="1"/>
    </xf>
    <xf borderId="0" fillId="0" fontId="15" numFmtId="49" xfId="0" applyAlignment="1" applyFont="1" applyNumberFormat="1">
      <alignment horizontal="left" readingOrder="0" shrinkToFit="0" vertical="center" wrapText="0"/>
    </xf>
    <xf borderId="1" fillId="0" fontId="16" numFmtId="49" xfId="0" applyAlignment="1" applyBorder="1" applyFont="1" applyNumberFormat="1">
      <alignment horizontal="center" shrinkToFit="0" vertical="center" wrapText="1"/>
    </xf>
    <xf borderId="1" fillId="0" fontId="16" numFmtId="49" xfId="0" applyAlignment="1" applyBorder="1" applyFont="1" applyNumberFormat="1">
      <alignment shrinkToFit="0" vertical="center" wrapText="1"/>
    </xf>
    <xf borderId="1" fillId="0" fontId="16" numFmtId="0" xfId="0" applyBorder="1" applyFont="1"/>
    <xf borderId="0" fillId="0" fontId="16" numFmtId="49" xfId="0" applyAlignment="1" applyFont="1" applyNumberFormat="1">
      <alignment horizontal="center" shrinkToFit="0" vertical="center" wrapText="1"/>
    </xf>
    <xf borderId="0" fillId="0" fontId="16" numFmtId="49" xfId="0" applyAlignment="1" applyFont="1" applyNumberFormat="1">
      <alignment shrinkToFit="0" vertical="center" wrapText="1"/>
    </xf>
    <xf borderId="0" fillId="0" fontId="16" numFmtId="0" xfId="0" applyFont="1"/>
    <xf borderId="2" fillId="2" fontId="2" numFmtId="49" xfId="0" applyAlignment="1" applyBorder="1" applyFont="1" applyNumberFormat="1">
      <alignment horizontal="center" readingOrder="0" shrinkToFit="0" vertical="center" wrapText="0"/>
    </xf>
    <xf borderId="2" fillId="0" fontId="17" numFmtId="0" xfId="0" applyBorder="1" applyFont="1"/>
    <xf borderId="0" fillId="2" fontId="5" numFmtId="49" xfId="0" applyAlignment="1" applyFont="1" applyNumberFormat="1">
      <alignment horizontal="center" readingOrder="0" shrinkToFit="0" vertical="center" wrapText="1"/>
    </xf>
    <xf borderId="0" fillId="0" fontId="11" numFmtId="166" xfId="0" applyAlignment="1" applyFont="1" applyNumberFormat="1">
      <alignment horizontal="left" readingOrder="0" vertical="center"/>
    </xf>
    <xf borderId="0" fillId="0" fontId="13" numFmtId="167" xfId="0" applyAlignment="1" applyFont="1" applyNumberFormat="1">
      <alignment horizontal="left" readingOrder="0" vertical="center"/>
    </xf>
    <xf borderId="0" fillId="0" fontId="13" numFmtId="49" xfId="0" applyAlignment="1" applyFont="1" applyNumberFormat="1">
      <alignment readingOrder="0" shrinkToFit="0" vertical="center" wrapText="1"/>
    </xf>
    <xf borderId="0" fillId="0" fontId="13" numFmtId="166" xfId="0" applyAlignment="1" applyFont="1" applyNumberFormat="1">
      <alignment horizontal="left" readingOrder="0" shrinkToFit="0" vertical="center" wrapText="1"/>
    </xf>
    <xf borderId="3" fillId="0" fontId="13" numFmtId="49" xfId="0" applyAlignment="1" applyBorder="1" applyFont="1" applyNumberFormat="1">
      <alignment readingOrder="0" shrinkToFit="0" wrapText="1"/>
    </xf>
    <xf borderId="3" fillId="0" fontId="11" numFmtId="166" xfId="0" applyAlignment="1" applyBorder="1" applyFont="1" applyNumberFormat="1">
      <alignment horizontal="left" readingOrder="0" vertical="center"/>
    </xf>
    <xf borderId="0" fillId="0" fontId="12" numFmtId="49" xfId="0" applyAlignment="1" applyFont="1" applyNumberFormat="1">
      <alignment horizontal="left" shrinkToFit="0" vertical="top" wrapText="0"/>
    </xf>
    <xf borderId="0" fillId="0" fontId="12" numFmtId="49" xfId="0" applyAlignment="1" applyFont="1" applyNumberFormat="1">
      <alignment shrinkToFit="0" vertical="top" wrapText="1"/>
    </xf>
    <xf borderId="0" fillId="0" fontId="12" numFmtId="49" xfId="0" applyAlignment="1" applyFont="1" applyNumberFormat="1">
      <alignment readingOrder="0" shrinkToFit="0" vertical="center" wrapText="0"/>
    </xf>
    <xf borderId="0" fillId="2" fontId="5" numFmtId="49" xfId="0" applyAlignment="1" applyFont="1" applyNumberFormat="1">
      <alignment horizontal="center" readingOrder="0" shrinkToFit="0" vertical="center" wrapText="0"/>
    </xf>
    <xf borderId="4" fillId="0" fontId="13" numFmtId="165" xfId="0" applyAlignment="1" applyBorder="1" applyFont="1" applyNumberFormat="1">
      <alignment horizontal="right"/>
    </xf>
    <xf borderId="0" fillId="0" fontId="14" numFmtId="49" xfId="0" applyAlignment="1" applyFont="1" applyNumberFormat="1">
      <alignment readingOrder="0" shrinkToFit="0" vertical="center" wrapText="1"/>
    </xf>
    <xf borderId="0" fillId="0" fontId="13" numFmtId="165" xfId="0" applyAlignment="1" applyFont="1" applyNumberFormat="1">
      <alignment horizontal="right"/>
    </xf>
    <xf borderId="0" fillId="0" fontId="13" numFmtId="165" xfId="0" applyAlignment="1" applyFont="1" applyNumberFormat="1">
      <alignment horizontal="right" shrinkToFit="0" wrapText="1"/>
    </xf>
    <xf borderId="1" fillId="0" fontId="13" numFmtId="49" xfId="0" applyAlignment="1" applyBorder="1" applyFont="1" applyNumberFormat="1">
      <alignment horizontal="left" readingOrder="0"/>
    </xf>
    <xf borderId="1" fillId="0" fontId="18" numFmtId="49" xfId="0" applyAlignment="1" applyBorder="1" applyFont="1" applyNumberFormat="1">
      <alignment horizontal="left" readingOrder="0"/>
    </xf>
    <xf borderId="1" fillId="0" fontId="18" numFmtId="166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28575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9" width="14.0"/>
  </cols>
  <sheetData>
    <row r="1">
      <c r="A1" s="1"/>
      <c r="B1" s="1"/>
      <c r="C1" s="1"/>
      <c r="D1" s="1"/>
      <c r="E1" s="2"/>
      <c r="F1" s="3"/>
      <c r="G1" s="3"/>
      <c r="H1" s="3"/>
      <c r="I1" s="3"/>
    </row>
    <row r="2" ht="6.75" customHeight="1">
      <c r="A2" s="1"/>
      <c r="B2" s="4"/>
      <c r="C2" s="4"/>
      <c r="D2" s="4"/>
      <c r="E2" s="5"/>
      <c r="F2" s="6"/>
      <c r="G2" s="6"/>
      <c r="H2" s="6"/>
      <c r="I2" s="6"/>
    </row>
    <row r="3">
      <c r="A3" s="1"/>
      <c r="B3" s="4"/>
      <c r="C3" s="4"/>
      <c r="D3" s="4"/>
      <c r="E3" s="5"/>
      <c r="F3" s="6"/>
      <c r="G3" s="6"/>
      <c r="H3" s="6"/>
      <c r="I3" s="6"/>
    </row>
    <row r="4">
      <c r="A4" s="1"/>
      <c r="B4" s="4"/>
      <c r="C4" s="4"/>
      <c r="D4" s="4"/>
      <c r="E4" s="5"/>
      <c r="F4" s="6"/>
      <c r="G4" s="6"/>
      <c r="H4" s="6"/>
      <c r="I4" s="6"/>
    </row>
    <row r="5">
      <c r="A5" s="7"/>
      <c r="B5" s="8"/>
      <c r="C5" s="9" t="s">
        <v>0</v>
      </c>
      <c r="D5" s="4"/>
      <c r="E5" s="5"/>
      <c r="F5" s="6"/>
      <c r="G5" s="6"/>
      <c r="H5" s="6"/>
      <c r="I5" s="6"/>
    </row>
    <row r="6">
      <c r="A6" s="1"/>
      <c r="B6" s="4"/>
      <c r="C6" s="4"/>
      <c r="D6" s="4"/>
      <c r="E6" s="5" t="s">
        <v>1</v>
      </c>
      <c r="F6" s="6" t="s">
        <v>2</v>
      </c>
      <c r="G6" s="6" t="s">
        <v>3</v>
      </c>
      <c r="H6" s="6" t="s">
        <v>4</v>
      </c>
      <c r="I6" s="6" t="s">
        <v>5</v>
      </c>
    </row>
    <row r="7">
      <c r="A7" s="10"/>
      <c r="B7" s="11"/>
      <c r="C7" s="12" t="s">
        <v>6</v>
      </c>
      <c r="D7" s="13"/>
      <c r="E7" s="14" t="s">
        <v>7</v>
      </c>
      <c r="F7" s="15">
        <v>44734.0</v>
      </c>
      <c r="G7" s="16">
        <v>44642.0</v>
      </c>
      <c r="H7" s="14" t="s">
        <v>8</v>
      </c>
      <c r="I7" s="17" t="s">
        <v>9</v>
      </c>
    </row>
    <row r="8">
      <c r="A8" s="18"/>
      <c r="B8" s="18"/>
      <c r="C8" s="19" t="s">
        <v>10</v>
      </c>
      <c r="D8" s="20"/>
      <c r="E8" s="21"/>
      <c r="F8" s="21"/>
      <c r="G8" s="22"/>
      <c r="H8" s="22"/>
      <c r="I8" s="22"/>
    </row>
    <row r="9">
      <c r="A9" s="23"/>
      <c r="B9" s="23"/>
      <c r="C9" s="23" t="s">
        <v>11</v>
      </c>
      <c r="D9" s="24" t="s">
        <v>12</v>
      </c>
      <c r="E9" s="25">
        <v>3.34687148745E9</v>
      </c>
      <c r="F9" s="25">
        <v>3.1094262513E9</v>
      </c>
      <c r="G9" s="26">
        <v>2.88618582938E9</v>
      </c>
      <c r="H9" s="26">
        <v>2.60515384672E9</v>
      </c>
      <c r="I9" s="26">
        <v>2.40532807838E9</v>
      </c>
    </row>
    <row r="10">
      <c r="A10" s="23"/>
      <c r="B10" s="23"/>
      <c r="C10" s="23" t="s">
        <v>13</v>
      </c>
      <c r="D10" s="24" t="s">
        <v>14</v>
      </c>
      <c r="E10" s="25">
        <v>3.34687148745E9</v>
      </c>
      <c r="F10" s="25">
        <v>3.1094262513E9</v>
      </c>
      <c r="G10" s="26">
        <v>2.88618582938E9</v>
      </c>
      <c r="H10" s="26">
        <v>2.60515384672E9</v>
      </c>
      <c r="I10" s="26">
        <v>2.40532807838E9</v>
      </c>
    </row>
    <row r="11">
      <c r="A11" s="23"/>
      <c r="B11" s="23"/>
      <c r="C11" s="23" t="s">
        <v>15</v>
      </c>
      <c r="D11" s="24" t="s">
        <v>16</v>
      </c>
      <c r="E11" s="25">
        <v>4.29402846072E9</v>
      </c>
      <c r="F11" s="25">
        <v>4.02178581057E9</v>
      </c>
      <c r="G11" s="26">
        <v>2.9911369416E9</v>
      </c>
      <c r="H11" s="26">
        <v>2.70704051152E9</v>
      </c>
      <c r="I11" s="26">
        <v>2.50419250943E9</v>
      </c>
    </row>
    <row r="12">
      <c r="A12" s="23"/>
      <c r="B12" s="23"/>
      <c r="C12" s="23" t="s">
        <v>17</v>
      </c>
      <c r="D12" s="24" t="s">
        <v>18</v>
      </c>
      <c r="E12" s="27">
        <v>0.0</v>
      </c>
      <c r="F12" s="27">
        <v>0.0</v>
      </c>
      <c r="G12" s="27">
        <v>0.0</v>
      </c>
      <c r="H12" s="27">
        <v>0.0</v>
      </c>
      <c r="I12" s="27">
        <v>0.0</v>
      </c>
    </row>
    <row r="13">
      <c r="A13" s="23"/>
      <c r="B13" s="23"/>
      <c r="C13" s="23" t="s">
        <v>19</v>
      </c>
      <c r="D13" s="24" t="s">
        <v>20</v>
      </c>
      <c r="E13" s="27">
        <v>0.0</v>
      </c>
      <c r="F13" s="27">
        <v>0.0</v>
      </c>
      <c r="G13" s="27">
        <v>0.0</v>
      </c>
      <c r="H13" s="27">
        <v>0.0</v>
      </c>
      <c r="I13" s="27">
        <v>0.0</v>
      </c>
    </row>
    <row r="14">
      <c r="A14" s="18"/>
      <c r="B14" s="18"/>
      <c r="C14" s="28" t="s">
        <v>21</v>
      </c>
      <c r="D14" s="29"/>
      <c r="E14" s="30"/>
      <c r="F14" s="30"/>
      <c r="G14" s="31"/>
      <c r="H14" s="31"/>
      <c r="I14" s="31"/>
    </row>
    <row r="15">
      <c r="A15" s="23"/>
      <c r="B15" s="23"/>
      <c r="C15" s="23" t="s">
        <v>22</v>
      </c>
      <c r="D15" s="24" t="s">
        <v>23</v>
      </c>
      <c r="E15" s="25">
        <v>2.422014991622E10</v>
      </c>
      <c r="F15" s="25">
        <v>1.859067804122E10</v>
      </c>
      <c r="G15" s="26">
        <v>1.649348511312E10</v>
      </c>
      <c r="H15" s="26">
        <v>1.195729730571E10</v>
      </c>
      <c r="I15" s="26">
        <v>7.65089612656E9</v>
      </c>
    </row>
    <row r="16">
      <c r="A16" s="18"/>
      <c r="B16" s="18"/>
      <c r="C16" s="28" t="s">
        <v>24</v>
      </c>
      <c r="D16" s="29"/>
      <c r="E16" s="32"/>
      <c r="F16" s="30"/>
      <c r="G16" s="31"/>
      <c r="H16" s="31"/>
      <c r="I16" s="31"/>
    </row>
    <row r="17">
      <c r="A17" s="23"/>
      <c r="B17" s="23"/>
      <c r="C17" s="23" t="s">
        <v>25</v>
      </c>
      <c r="D17" s="24" t="s">
        <v>26</v>
      </c>
      <c r="E17" s="33">
        <v>0.1382</v>
      </c>
      <c r="F17" s="33">
        <v>0.1673</v>
      </c>
      <c r="G17" s="34">
        <v>0.175</v>
      </c>
      <c r="H17" s="34">
        <v>0.2179</v>
      </c>
      <c r="I17" s="34">
        <v>0.3144</v>
      </c>
    </row>
    <row r="18">
      <c r="A18" s="23"/>
      <c r="B18" s="23"/>
      <c r="C18" s="23" t="s">
        <v>27</v>
      </c>
      <c r="D18" s="35" t="s">
        <v>28</v>
      </c>
      <c r="E18" s="33">
        <v>0.1382</v>
      </c>
      <c r="F18" s="33">
        <v>0.1673</v>
      </c>
      <c r="G18" s="34">
        <v>0.175</v>
      </c>
      <c r="H18" s="34">
        <v>0.2179</v>
      </c>
      <c r="I18" s="34">
        <v>0.3144</v>
      </c>
    </row>
    <row r="19">
      <c r="A19" s="23"/>
      <c r="B19" s="23"/>
      <c r="C19" s="23" t="s">
        <v>29</v>
      </c>
      <c r="D19" s="35" t="s">
        <v>30</v>
      </c>
      <c r="E19" s="33">
        <v>0.1773</v>
      </c>
      <c r="F19" s="33">
        <v>0.2163</v>
      </c>
      <c r="G19" s="34">
        <v>0.1814</v>
      </c>
      <c r="H19" s="34">
        <v>0.2264</v>
      </c>
      <c r="I19" s="34">
        <v>0.3273</v>
      </c>
    </row>
    <row r="20">
      <c r="A20" s="18"/>
      <c r="B20" s="18"/>
      <c r="C20" s="28" t="s">
        <v>31</v>
      </c>
      <c r="D20" s="29"/>
      <c r="E20" s="30"/>
      <c r="F20" s="30"/>
      <c r="G20" s="31"/>
      <c r="H20" s="31"/>
      <c r="I20" s="31"/>
    </row>
    <row r="21">
      <c r="A21" s="23"/>
      <c r="B21" s="23"/>
      <c r="C21" s="23" t="s">
        <v>32</v>
      </c>
      <c r="D21" s="24" t="s">
        <v>33</v>
      </c>
      <c r="E21" s="33">
        <v>0.025</v>
      </c>
      <c r="F21" s="33">
        <v>0.025</v>
      </c>
      <c r="G21" s="34">
        <v>0.02</v>
      </c>
      <c r="H21" s="34">
        <v>0.02</v>
      </c>
      <c r="I21" s="34">
        <v>0.01625</v>
      </c>
    </row>
    <row r="22">
      <c r="A22" s="23"/>
      <c r="B22" s="23"/>
      <c r="C22" s="23" t="s">
        <v>34</v>
      </c>
      <c r="D22" s="24" t="s">
        <v>35</v>
      </c>
      <c r="E22" s="25"/>
      <c r="F22" s="25"/>
      <c r="G22" s="26"/>
      <c r="H22" s="26"/>
      <c r="I22" s="26"/>
    </row>
    <row r="23">
      <c r="A23" s="23"/>
      <c r="B23" s="23"/>
      <c r="C23" s="23" t="s">
        <v>36</v>
      </c>
      <c r="D23" s="24" t="s">
        <v>37</v>
      </c>
      <c r="E23" s="25"/>
      <c r="F23" s="25"/>
      <c r="G23" s="26"/>
      <c r="H23" s="26"/>
      <c r="I23" s="26"/>
    </row>
    <row r="24">
      <c r="A24" s="23"/>
      <c r="B24" s="23"/>
      <c r="C24" s="23" t="s">
        <v>38</v>
      </c>
      <c r="D24" s="24" t="s">
        <v>39</v>
      </c>
      <c r="E24" s="33">
        <f t="shared" ref="E24:I24" si="1">sum(E21:E23)</f>
        <v>0.025</v>
      </c>
      <c r="F24" s="33">
        <f t="shared" si="1"/>
        <v>0.025</v>
      </c>
      <c r="G24" s="33">
        <f t="shared" si="1"/>
        <v>0.02</v>
      </c>
      <c r="H24" s="33">
        <f t="shared" si="1"/>
        <v>0.02</v>
      </c>
      <c r="I24" s="33">
        <f t="shared" si="1"/>
        <v>0.01625</v>
      </c>
    </row>
    <row r="25">
      <c r="A25" s="23"/>
      <c r="B25" s="23"/>
      <c r="C25" s="23" t="s">
        <v>40</v>
      </c>
      <c r="D25" s="24" t="s">
        <v>41</v>
      </c>
      <c r="E25" s="33">
        <v>0.0682</v>
      </c>
      <c r="F25" s="33">
        <v>0.0973</v>
      </c>
      <c r="G25" s="34">
        <v>0.11</v>
      </c>
      <c r="H25" s="34">
        <v>0.1529</v>
      </c>
      <c r="I25" s="34">
        <v>0.2531</v>
      </c>
    </row>
    <row r="26">
      <c r="A26" s="18"/>
      <c r="B26" s="18"/>
      <c r="C26" s="28" t="s">
        <v>42</v>
      </c>
      <c r="D26" s="29"/>
      <c r="E26" s="30"/>
      <c r="F26" s="30"/>
      <c r="G26" s="31"/>
      <c r="H26" s="31"/>
      <c r="I26" s="31"/>
    </row>
    <row r="27">
      <c r="A27" s="23"/>
      <c r="B27" s="23"/>
      <c r="C27" s="23" t="s">
        <v>43</v>
      </c>
      <c r="D27" s="24" t="s">
        <v>44</v>
      </c>
      <c r="E27" s="25" t="s">
        <v>45</v>
      </c>
      <c r="F27" s="25" t="s">
        <v>45</v>
      </c>
      <c r="G27" s="25" t="s">
        <v>45</v>
      </c>
      <c r="H27" s="25" t="s">
        <v>45</v>
      </c>
      <c r="I27" s="25" t="s">
        <v>45</v>
      </c>
    </row>
    <row r="28">
      <c r="A28" s="23"/>
      <c r="B28" s="23"/>
      <c r="C28" s="23" t="s">
        <v>46</v>
      </c>
      <c r="D28" s="24" t="s">
        <v>47</v>
      </c>
      <c r="E28" s="25" t="s">
        <v>45</v>
      </c>
      <c r="F28" s="25" t="s">
        <v>45</v>
      </c>
      <c r="G28" s="25" t="s">
        <v>45</v>
      </c>
      <c r="H28" s="25" t="s">
        <v>45</v>
      </c>
      <c r="I28" s="25" t="s">
        <v>45</v>
      </c>
    </row>
    <row r="29">
      <c r="A29" s="18"/>
      <c r="B29" s="18"/>
      <c r="C29" s="28" t="s">
        <v>48</v>
      </c>
      <c r="D29" s="29"/>
      <c r="E29" s="30"/>
      <c r="F29" s="30"/>
      <c r="G29" s="31"/>
      <c r="H29" s="31"/>
      <c r="I29" s="31"/>
    </row>
    <row r="30">
      <c r="A30" s="23"/>
      <c r="B30" s="23"/>
      <c r="C30" s="23" t="s">
        <v>49</v>
      </c>
      <c r="D30" s="24" t="s">
        <v>50</v>
      </c>
      <c r="E30" s="25" t="s">
        <v>45</v>
      </c>
      <c r="F30" s="25" t="s">
        <v>45</v>
      </c>
      <c r="G30" s="25" t="s">
        <v>45</v>
      </c>
      <c r="H30" s="25" t="s">
        <v>45</v>
      </c>
      <c r="I30" s="25" t="s">
        <v>45</v>
      </c>
    </row>
    <row r="31">
      <c r="A31" s="23"/>
      <c r="B31" s="23"/>
      <c r="C31" s="23" t="s">
        <v>51</v>
      </c>
      <c r="D31" s="24" t="s">
        <v>52</v>
      </c>
      <c r="E31" s="25" t="s">
        <v>45</v>
      </c>
      <c r="F31" s="25" t="s">
        <v>45</v>
      </c>
      <c r="G31" s="25" t="s">
        <v>45</v>
      </c>
      <c r="H31" s="25" t="s">
        <v>45</v>
      </c>
      <c r="I31" s="25" t="s">
        <v>45</v>
      </c>
    </row>
    <row r="32">
      <c r="A32" s="23"/>
      <c r="B32" s="23"/>
      <c r="C32" s="23" t="s">
        <v>53</v>
      </c>
      <c r="D32" s="24" t="s">
        <v>54</v>
      </c>
      <c r="E32" s="25" t="s">
        <v>45</v>
      </c>
      <c r="F32" s="25" t="s">
        <v>45</v>
      </c>
      <c r="G32" s="25" t="s">
        <v>45</v>
      </c>
      <c r="H32" s="25" t="s">
        <v>45</v>
      </c>
      <c r="I32" s="25" t="s">
        <v>45</v>
      </c>
    </row>
    <row r="33">
      <c r="A33" s="18"/>
      <c r="B33" s="18"/>
      <c r="C33" s="28" t="s">
        <v>55</v>
      </c>
      <c r="D33" s="29"/>
      <c r="E33" s="30"/>
      <c r="F33" s="30"/>
      <c r="G33" s="31"/>
      <c r="H33" s="31"/>
      <c r="I33" s="31"/>
    </row>
    <row r="34">
      <c r="A34" s="23"/>
      <c r="B34" s="23"/>
      <c r="C34" s="23" t="s">
        <v>56</v>
      </c>
      <c r="D34" s="24" t="s">
        <v>57</v>
      </c>
      <c r="E34" s="25" t="s">
        <v>45</v>
      </c>
      <c r="F34" s="25" t="s">
        <v>45</v>
      </c>
      <c r="G34" s="25" t="s">
        <v>45</v>
      </c>
      <c r="H34" s="25" t="s">
        <v>45</v>
      </c>
      <c r="I34" s="25" t="s">
        <v>45</v>
      </c>
    </row>
    <row r="35">
      <c r="A35" s="23"/>
      <c r="B35" s="23"/>
      <c r="C35" s="23" t="s">
        <v>58</v>
      </c>
      <c r="D35" s="24" t="s">
        <v>59</v>
      </c>
      <c r="E35" s="25" t="s">
        <v>45</v>
      </c>
      <c r="F35" s="25" t="s">
        <v>45</v>
      </c>
      <c r="G35" s="25" t="s">
        <v>45</v>
      </c>
      <c r="H35" s="25" t="s">
        <v>45</v>
      </c>
      <c r="I35" s="25" t="s">
        <v>45</v>
      </c>
    </row>
    <row r="36">
      <c r="A36" s="23"/>
      <c r="B36" s="23"/>
      <c r="C36" s="23" t="s">
        <v>60</v>
      </c>
      <c r="D36" s="24" t="s">
        <v>61</v>
      </c>
      <c r="E36" s="25" t="s">
        <v>45</v>
      </c>
      <c r="F36" s="25" t="s">
        <v>45</v>
      </c>
      <c r="G36" s="25" t="s">
        <v>45</v>
      </c>
      <c r="H36" s="25" t="s">
        <v>45</v>
      </c>
      <c r="I36" s="25" t="s">
        <v>45</v>
      </c>
    </row>
    <row r="37">
      <c r="A37" s="36"/>
      <c r="B37" s="36"/>
      <c r="C37" s="36"/>
      <c r="D37" s="37"/>
    </row>
    <row r="38">
      <c r="A38" s="38"/>
      <c r="B38" s="38"/>
      <c r="C38" s="38" t="s">
        <v>62</v>
      </c>
      <c r="D38" s="37"/>
    </row>
    <row r="39">
      <c r="A39" s="36"/>
      <c r="B39" s="36"/>
      <c r="C39" s="39"/>
      <c r="D39" s="40"/>
      <c r="E39" s="41"/>
      <c r="F39" s="41"/>
      <c r="G39" s="41"/>
      <c r="H39" s="41"/>
      <c r="I39" s="41"/>
    </row>
    <row r="40">
      <c r="A40" s="36"/>
      <c r="B40" s="36"/>
      <c r="C40" s="42"/>
      <c r="D40" s="43"/>
      <c r="E40" s="44"/>
      <c r="F40" s="44"/>
      <c r="G40" s="44"/>
      <c r="H40" s="44"/>
      <c r="I40" s="44"/>
    </row>
    <row r="41">
      <c r="A41" s="36"/>
      <c r="B41" s="36"/>
      <c r="C41" s="42"/>
      <c r="D41" s="43"/>
      <c r="E41" s="44"/>
      <c r="F41" s="44"/>
      <c r="G41" s="44"/>
      <c r="H41" s="44"/>
      <c r="I41" s="44"/>
    </row>
    <row r="42">
      <c r="A42" s="36"/>
      <c r="B42" s="36"/>
      <c r="C42" s="42"/>
      <c r="D42" s="43"/>
      <c r="E42" s="44"/>
      <c r="F42" s="44"/>
      <c r="G42" s="44"/>
      <c r="H42" s="44"/>
      <c r="I42" s="4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4.0"/>
    <col customWidth="1" min="5" max="5" width="14.0"/>
    <col customWidth="1" min="6" max="6" width="15.38"/>
    <col customWidth="1" min="7" max="7" width="15.75"/>
  </cols>
  <sheetData>
    <row r="1">
      <c r="A1" s="1"/>
      <c r="B1" s="1"/>
      <c r="C1" s="1"/>
      <c r="D1" s="1"/>
      <c r="E1" s="2"/>
      <c r="F1" s="3"/>
      <c r="G1" s="3"/>
    </row>
    <row r="2" ht="6.75" customHeight="1">
      <c r="A2" s="1"/>
      <c r="B2" s="4"/>
      <c r="C2" s="4"/>
      <c r="D2" s="4"/>
      <c r="E2" s="5"/>
      <c r="F2" s="6"/>
      <c r="G2" s="6"/>
    </row>
    <row r="3">
      <c r="A3" s="1"/>
      <c r="B3" s="4"/>
      <c r="C3" s="4"/>
      <c r="D3" s="4"/>
      <c r="E3" s="5"/>
      <c r="F3" s="6"/>
      <c r="G3" s="6"/>
    </row>
    <row r="4">
      <c r="A4" s="1"/>
      <c r="B4" s="4"/>
      <c r="C4" s="4"/>
      <c r="D4" s="4"/>
      <c r="E4" s="5"/>
      <c r="F4" s="6"/>
      <c r="G4" s="6"/>
    </row>
    <row r="5">
      <c r="A5" s="7"/>
      <c r="B5" s="8"/>
      <c r="C5" s="9" t="s">
        <v>63</v>
      </c>
      <c r="D5" s="4"/>
      <c r="E5" s="5" t="s">
        <v>1</v>
      </c>
      <c r="F5" s="6" t="s">
        <v>2</v>
      </c>
      <c r="G5" s="6" t="s">
        <v>3</v>
      </c>
    </row>
    <row r="6">
      <c r="A6" s="1"/>
      <c r="B6" s="4"/>
      <c r="C6" s="4"/>
      <c r="D6" s="9"/>
      <c r="E6" s="45" t="s">
        <v>64</v>
      </c>
      <c r="F6" s="46"/>
      <c r="G6" s="47" t="s">
        <v>65</v>
      </c>
    </row>
    <row r="7">
      <c r="A7" s="10"/>
      <c r="B7" s="11"/>
      <c r="C7" s="12" t="s">
        <v>6</v>
      </c>
      <c r="D7" s="13"/>
      <c r="E7" s="14" t="s">
        <v>7</v>
      </c>
      <c r="F7" s="15">
        <v>44734.0</v>
      </c>
      <c r="G7" s="14" t="s">
        <v>7</v>
      </c>
    </row>
    <row r="8">
      <c r="A8" s="20"/>
      <c r="B8" s="23"/>
      <c r="C8" s="24" t="s">
        <v>66</v>
      </c>
      <c r="D8" s="48" t="s">
        <v>67</v>
      </c>
      <c r="E8" s="48">
        <v>1.823766000436E10</v>
      </c>
      <c r="F8" s="48">
        <v>1.541326622402E10</v>
      </c>
      <c r="G8" s="48">
        <v>1.45901280035E9</v>
      </c>
    </row>
    <row r="9">
      <c r="A9" s="20"/>
      <c r="B9" s="23"/>
      <c r="C9" s="24" t="s">
        <v>13</v>
      </c>
      <c r="D9" s="25" t="s">
        <v>68</v>
      </c>
      <c r="E9" s="25">
        <v>1.657488450375E10</v>
      </c>
      <c r="F9" s="25">
        <v>1.413328357578E10</v>
      </c>
      <c r="G9" s="25">
        <v>1.3259907603E9</v>
      </c>
    </row>
    <row r="10">
      <c r="A10" s="20"/>
      <c r="B10" s="23"/>
      <c r="C10" s="24" t="s">
        <v>27</v>
      </c>
      <c r="D10" s="25" t="s">
        <v>69</v>
      </c>
      <c r="E10" s="25">
        <v>463631.08</v>
      </c>
      <c r="F10" s="25">
        <v>345920.63</v>
      </c>
      <c r="G10" s="25">
        <v>37090.49</v>
      </c>
    </row>
    <row r="11">
      <c r="A11" s="20"/>
      <c r="B11" s="23"/>
      <c r="C11" s="24" t="s">
        <v>29</v>
      </c>
      <c r="D11" s="25" t="s">
        <v>70</v>
      </c>
      <c r="E11" s="25"/>
      <c r="F11" s="25"/>
      <c r="G11" s="49"/>
    </row>
    <row r="12">
      <c r="A12" s="20"/>
      <c r="B12" s="23"/>
      <c r="C12" s="24" t="s">
        <v>71</v>
      </c>
      <c r="D12" s="25" t="s">
        <v>72</v>
      </c>
      <c r="E12" s="25">
        <v>463631.08</v>
      </c>
      <c r="F12" s="25">
        <v>345920.63</v>
      </c>
      <c r="G12" s="25">
        <v>37090.49</v>
      </c>
    </row>
    <row r="13">
      <c r="A13" s="20"/>
      <c r="B13" s="23"/>
      <c r="C13" s="24" t="s">
        <v>34</v>
      </c>
      <c r="D13" s="25" t="s">
        <v>73</v>
      </c>
      <c r="E13" s="25"/>
      <c r="F13" s="25"/>
      <c r="G13" s="25"/>
    </row>
    <row r="14">
      <c r="A14" s="20"/>
      <c r="B14" s="23"/>
      <c r="C14" s="50" t="s">
        <v>36</v>
      </c>
      <c r="D14" s="51" t="s">
        <v>74</v>
      </c>
      <c r="E14" s="25">
        <v>1068953.25</v>
      </c>
      <c r="F14" s="25">
        <v>1039560.57</v>
      </c>
      <c r="G14" s="25">
        <v>85516.26</v>
      </c>
    </row>
    <row r="15">
      <c r="A15" s="20"/>
      <c r="B15" s="23"/>
      <c r="C15" s="24" t="s">
        <v>40</v>
      </c>
      <c r="D15" s="25" t="s">
        <v>75</v>
      </c>
      <c r="E15" s="25">
        <v>9.043181656E7</v>
      </c>
      <c r="F15" s="25"/>
      <c r="G15" s="25">
        <v>7234545.3248000005</v>
      </c>
    </row>
    <row r="16">
      <c r="A16" s="20"/>
      <c r="B16" s="23"/>
      <c r="C16" s="24" t="s">
        <v>43</v>
      </c>
      <c r="D16" s="25" t="s">
        <v>76</v>
      </c>
      <c r="E16" s="25">
        <v>6366636.57</v>
      </c>
      <c r="F16" s="25">
        <v>1.20796708922E9</v>
      </c>
      <c r="G16" s="25">
        <v>509330.9256</v>
      </c>
    </row>
    <row r="17">
      <c r="A17" s="20"/>
      <c r="B17" s="23"/>
      <c r="C17" s="24" t="s">
        <v>46</v>
      </c>
      <c r="D17" s="25" t="s">
        <v>77</v>
      </c>
      <c r="E17" s="25"/>
      <c r="F17" s="25"/>
      <c r="G17" s="25"/>
    </row>
    <row r="18">
      <c r="A18" s="20"/>
      <c r="B18" s="23"/>
      <c r="C18" s="24" t="s">
        <v>51</v>
      </c>
      <c r="D18" s="25" t="s">
        <v>78</v>
      </c>
      <c r="E18" s="25">
        <v>1.25532132828E9</v>
      </c>
      <c r="F18" s="25"/>
      <c r="G18" s="25">
        <v>1.004257062624E8</v>
      </c>
    </row>
    <row r="19">
      <c r="A19" s="20"/>
      <c r="B19" s="23"/>
      <c r="C19" s="24" t="s">
        <v>79</v>
      </c>
      <c r="D19" s="25" t="s">
        <v>80</v>
      </c>
      <c r="E19" s="25">
        <v>3.0912313487E8</v>
      </c>
      <c r="F19" s="25">
        <v>7.063007782E7</v>
      </c>
      <c r="G19" s="25">
        <v>2.472985079E7</v>
      </c>
    </row>
    <row r="20">
      <c r="A20" s="20"/>
      <c r="B20" s="23"/>
      <c r="C20" s="52" t="s">
        <v>60</v>
      </c>
      <c r="D20" s="53" t="s">
        <v>81</v>
      </c>
      <c r="E20" s="53">
        <v>2.9322651722E8</v>
      </c>
      <c r="F20" s="53">
        <v>1.4683903882E8</v>
      </c>
      <c r="G20" s="53">
        <v>2.345812138E7</v>
      </c>
    </row>
    <row r="21">
      <c r="A21" s="20"/>
      <c r="B21" s="23"/>
      <c r="C21" s="24" t="s">
        <v>82</v>
      </c>
      <c r="D21" s="25" t="s">
        <v>83</v>
      </c>
      <c r="E21" s="25">
        <v>2.9322651722E8</v>
      </c>
      <c r="F21" s="25">
        <v>1.4683903882E8</v>
      </c>
      <c r="G21" s="25">
        <v>2.345812138E7</v>
      </c>
    </row>
    <row r="22">
      <c r="A22" s="20"/>
      <c r="B22" s="23"/>
      <c r="C22" s="24" t="s">
        <v>84</v>
      </c>
      <c r="D22" s="25" t="s">
        <v>85</v>
      </c>
      <c r="E22" s="25"/>
      <c r="F22" s="25"/>
      <c r="G22" s="25"/>
    </row>
    <row r="23">
      <c r="A23" s="20"/>
      <c r="B23" s="23"/>
      <c r="C23" s="52" t="s">
        <v>86</v>
      </c>
      <c r="D23" s="53" t="s">
        <v>87</v>
      </c>
      <c r="E23" s="53">
        <v>5.68926339463E9</v>
      </c>
      <c r="F23" s="53">
        <v>3.03057277838E9</v>
      </c>
      <c r="G23" s="53">
        <v>4.5514107157E8</v>
      </c>
    </row>
    <row r="24">
      <c r="A24" s="20"/>
      <c r="B24" s="23"/>
      <c r="C24" s="52" t="s">
        <v>88</v>
      </c>
      <c r="D24" s="53" t="s">
        <v>89</v>
      </c>
      <c r="E24" s="53">
        <f t="shared" ref="E24:G24" si="1">SUM(E9,E10,E14,E15,E16,E17,E18,E19,E20,E23)</f>
        <v>24220149916</v>
      </c>
      <c r="F24" s="53">
        <f t="shared" si="1"/>
        <v>18590678041</v>
      </c>
      <c r="G24" s="53">
        <f t="shared" si="1"/>
        <v>1937611993</v>
      </c>
    </row>
    <row r="25">
      <c r="A25" s="37"/>
      <c r="B25" s="37"/>
      <c r="C25" s="37"/>
      <c r="D25" s="37"/>
      <c r="E25" s="54"/>
      <c r="F25" s="55"/>
      <c r="G25" s="37"/>
    </row>
    <row r="26">
      <c r="A26" s="37"/>
      <c r="B26" s="38"/>
      <c r="C26" s="38" t="s">
        <v>62</v>
      </c>
      <c r="D26" s="37"/>
    </row>
    <row r="27">
      <c r="A27" s="37"/>
      <c r="B27" s="36"/>
      <c r="C27" s="39"/>
      <c r="D27" s="40"/>
      <c r="E27" s="41"/>
      <c r="F27" s="41"/>
      <c r="G27" s="41"/>
    </row>
    <row r="28">
      <c r="A28" s="56"/>
      <c r="B28" s="56"/>
      <c r="C28" s="56"/>
      <c r="D28" s="56"/>
      <c r="E28" s="56"/>
      <c r="F28" s="56"/>
      <c r="G28" s="56"/>
    </row>
    <row r="29">
      <c r="A29" s="37"/>
      <c r="B29" s="37"/>
      <c r="C29" s="37"/>
      <c r="D29" s="37"/>
      <c r="E29" s="54"/>
      <c r="F29" s="55"/>
      <c r="G29" s="37"/>
    </row>
    <row r="30">
      <c r="A30" s="37"/>
      <c r="B30" s="37"/>
      <c r="C30" s="37"/>
      <c r="D30" s="37"/>
      <c r="E30" s="54"/>
      <c r="F30" s="55"/>
      <c r="G30" s="37"/>
    </row>
  </sheetData>
  <mergeCells count="1">
    <mergeCell ref="E6:F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6" width="14.0"/>
  </cols>
  <sheetData>
    <row r="1">
      <c r="A1" s="1"/>
      <c r="B1" s="1"/>
      <c r="C1" s="1"/>
      <c r="D1" s="1"/>
      <c r="E1" s="2"/>
      <c r="F1" s="3"/>
    </row>
    <row r="2" ht="6.75" customHeight="1">
      <c r="A2" s="1"/>
      <c r="B2" s="4"/>
      <c r="C2" s="4"/>
      <c r="D2" s="4"/>
      <c r="E2" s="5"/>
      <c r="F2" s="6"/>
    </row>
    <row r="3">
      <c r="A3" s="1"/>
      <c r="B3" s="4"/>
      <c r="C3" s="4"/>
      <c r="D3" s="4"/>
      <c r="E3" s="5"/>
      <c r="F3" s="6"/>
    </row>
    <row r="4">
      <c r="A4" s="1"/>
      <c r="B4" s="4"/>
      <c r="C4" s="4"/>
      <c r="D4" s="4"/>
      <c r="E4" s="5"/>
      <c r="F4" s="6"/>
    </row>
    <row r="5">
      <c r="A5" s="7"/>
      <c r="B5" s="8"/>
      <c r="C5" s="9" t="s">
        <v>90</v>
      </c>
      <c r="D5" s="4"/>
      <c r="E5" s="57" t="s">
        <v>1</v>
      </c>
      <c r="F5" s="47" t="s">
        <v>2</v>
      </c>
    </row>
    <row r="6">
      <c r="A6" s="1"/>
      <c r="B6" s="4"/>
      <c r="C6" s="4"/>
      <c r="D6" s="9"/>
      <c r="E6" s="57" t="s">
        <v>91</v>
      </c>
    </row>
    <row r="7">
      <c r="A7" s="10"/>
      <c r="B7" s="11"/>
      <c r="C7" s="12" t="s">
        <v>6</v>
      </c>
      <c r="D7" s="13"/>
      <c r="E7" s="14" t="s">
        <v>7</v>
      </c>
      <c r="F7" s="15">
        <v>44734.0</v>
      </c>
    </row>
    <row r="8">
      <c r="A8" s="20"/>
      <c r="B8" s="20"/>
      <c r="C8" s="24" t="s">
        <v>11</v>
      </c>
      <c r="D8" s="25" t="s">
        <v>92</v>
      </c>
      <c r="E8" s="58">
        <f t="shared" ref="E8:F8" si="1">sum(E9:E12)</f>
        <v>206189873.5</v>
      </c>
      <c r="F8" s="58">
        <f t="shared" si="1"/>
        <v>126388686.5</v>
      </c>
    </row>
    <row r="9">
      <c r="A9" s="20"/>
      <c r="B9" s="20"/>
      <c r="C9" s="24" t="s">
        <v>93</v>
      </c>
      <c r="D9" s="59" t="s">
        <v>94</v>
      </c>
      <c r="E9" s="60">
        <v>1.6014296875E7</v>
      </c>
      <c r="F9" s="61">
        <v>1.64714E7</v>
      </c>
    </row>
    <row r="10">
      <c r="A10" s="20"/>
      <c r="B10" s="20"/>
      <c r="C10" s="24" t="s">
        <v>95</v>
      </c>
      <c r="D10" s="25" t="s">
        <v>96</v>
      </c>
      <c r="E10" s="60">
        <v>0.0</v>
      </c>
      <c r="F10" s="61">
        <v>0.0</v>
      </c>
    </row>
    <row r="11">
      <c r="A11" s="20"/>
      <c r="B11" s="20"/>
      <c r="C11" s="24" t="s">
        <v>97</v>
      </c>
      <c r="D11" s="25" t="s">
        <v>98</v>
      </c>
      <c r="E11" s="60">
        <v>1.90175576625E8</v>
      </c>
      <c r="F11" s="61">
        <v>1.099172865E8</v>
      </c>
    </row>
    <row r="12">
      <c r="A12" s="20"/>
      <c r="B12" s="20"/>
      <c r="C12" s="24" t="s">
        <v>99</v>
      </c>
      <c r="D12" s="25" t="s">
        <v>100</v>
      </c>
      <c r="E12" s="60">
        <v>0.0</v>
      </c>
      <c r="F12" s="61">
        <v>0.0</v>
      </c>
    </row>
    <row r="13">
      <c r="A13" s="20"/>
      <c r="B13" s="20"/>
      <c r="C13" s="24" t="s">
        <v>13</v>
      </c>
      <c r="D13" s="25" t="s">
        <v>101</v>
      </c>
      <c r="E13" s="60">
        <v>0.0</v>
      </c>
      <c r="F13" s="61">
        <v>0.0</v>
      </c>
    </row>
    <row r="14">
      <c r="A14" s="20"/>
      <c r="B14" s="20"/>
      <c r="C14" s="24" t="s">
        <v>15</v>
      </c>
      <c r="D14" s="25" t="s">
        <v>102</v>
      </c>
      <c r="E14" s="60">
        <v>8.703664372E7</v>
      </c>
      <c r="F14" s="61">
        <v>2.045035232E7</v>
      </c>
    </row>
    <row r="15">
      <c r="A15" s="20"/>
      <c r="B15" s="20"/>
      <c r="C15" s="24" t="s">
        <v>22</v>
      </c>
      <c r="D15" s="25" t="s">
        <v>103</v>
      </c>
      <c r="E15" s="60">
        <v>0.0</v>
      </c>
      <c r="F15" s="61">
        <v>0.0</v>
      </c>
    </row>
    <row r="16">
      <c r="A16" s="20"/>
      <c r="B16" s="20"/>
      <c r="C16" s="62" t="s">
        <v>34</v>
      </c>
      <c r="D16" s="63" t="s">
        <v>104</v>
      </c>
      <c r="E16" s="64">
        <f t="shared" ref="E16:F16" si="2">E8+E13+E14+E15</f>
        <v>293226517.2</v>
      </c>
      <c r="F16" s="64">
        <f t="shared" si="2"/>
        <v>146839038.8</v>
      </c>
    </row>
    <row r="17">
      <c r="A17" s="37"/>
      <c r="B17" s="37"/>
      <c r="C17" s="37"/>
      <c r="D17" s="37"/>
      <c r="E17" s="54"/>
      <c r="F17" s="55"/>
    </row>
    <row r="18">
      <c r="A18" s="37"/>
      <c r="B18" s="37"/>
      <c r="C18" s="38" t="s">
        <v>62</v>
      </c>
      <c r="D18" s="38"/>
      <c r="E18" s="37"/>
    </row>
    <row r="19">
      <c r="A19" s="37"/>
      <c r="B19" s="37"/>
      <c r="C19" s="39"/>
      <c r="D19" s="39"/>
      <c r="E19" s="40"/>
      <c r="F19" s="41"/>
    </row>
    <row r="20">
      <c r="A20" s="37"/>
      <c r="B20" s="37"/>
      <c r="C20" s="37"/>
      <c r="D20" s="37"/>
      <c r="E20" s="54"/>
      <c r="F20" s="55"/>
    </row>
    <row r="21">
      <c r="A21" s="37"/>
      <c r="B21" s="37"/>
      <c r="C21" s="37"/>
      <c r="D21" s="37"/>
      <c r="E21" s="54"/>
      <c r="F21" s="55"/>
    </row>
    <row r="22">
      <c r="A22" s="37"/>
      <c r="B22" s="37"/>
      <c r="C22" s="37"/>
      <c r="D22" s="37"/>
      <c r="E22" s="54"/>
      <c r="F22" s="55"/>
    </row>
  </sheetData>
  <mergeCells count="1">
    <mergeCell ref="E6:F6"/>
  </mergeCells>
  <drawing r:id="rId1"/>
</worksheet>
</file>