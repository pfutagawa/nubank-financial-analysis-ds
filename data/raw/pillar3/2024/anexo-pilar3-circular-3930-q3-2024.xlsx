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M1" sheetId="1" r:id="rId4"/>
    <sheet state="visible" name="OPD" sheetId="2" r:id="rId5"/>
    <sheet state="visible" name="MR1" sheetId="3" r:id="rId6"/>
    <sheet state="visible" name="OV1" sheetId="4" r:id="rId7"/>
  </sheets>
  <definedNames/>
  <calcPr/>
</workbook>
</file>

<file path=xl/sharedStrings.xml><?xml version="1.0" encoding="utf-8"?>
<sst xmlns="http://schemas.openxmlformats.org/spreadsheetml/2006/main" count="222" uniqueCount="121">
  <si>
    <t>Informações qualitativas sobre os requerimentos prudenciais [KM1]</t>
  </si>
  <si>
    <t>a</t>
  </si>
  <si>
    <t>b</t>
  </si>
  <si>
    <t>c</t>
  </si>
  <si>
    <t>d</t>
  </si>
  <si>
    <t>e</t>
  </si>
  <si>
    <t>Valores em R$</t>
  </si>
  <si>
    <t>9/2024</t>
  </si>
  <si>
    <t>Capital regulamentar - valores</t>
  </si>
  <si>
    <t>1</t>
  </si>
  <si>
    <t>Capital Principal</t>
  </si>
  <si>
    <t>2</t>
  </si>
  <si>
    <t>Nível I</t>
  </si>
  <si>
    <t>3</t>
  </si>
  <si>
    <t>Patrimônio de Referência (PR)</t>
  </si>
  <si>
    <t>3b</t>
  </si>
  <si>
    <t>Excesso dos recursos aplicados no ativo permanente</t>
  </si>
  <si>
    <t>-</t>
  </si>
  <si>
    <t>3c</t>
  </si>
  <si>
    <t>Destaque do PR</t>
  </si>
  <si>
    <t>Ativos ponderados pelo risco (RWA) - valores</t>
  </si>
  <si>
    <t>4</t>
  </si>
  <si>
    <t>RWA total</t>
  </si>
  <si>
    <t>Capital regulamentar como proporção do RWA</t>
  </si>
  <si>
    <t>5</t>
  </si>
  <si>
    <t>Índice de Capital Principal (ICP)</t>
  </si>
  <si>
    <t>6</t>
  </si>
  <si>
    <t>Índice de Nível 1 (%)</t>
  </si>
  <si>
    <t>7</t>
  </si>
  <si>
    <t>Índice de Basileia</t>
  </si>
  <si>
    <t>Adicional de Capital Principal (ACP) como proporção do RWA</t>
  </si>
  <si>
    <t>8</t>
  </si>
  <si>
    <t>Adicional de Conservação de Capital Principal - ACPConservação (%)</t>
  </si>
  <si>
    <t>9</t>
  </si>
  <si>
    <t>Adicional Contracíclico de Capital Principal - ACPContracíclico (%)</t>
  </si>
  <si>
    <t>10</t>
  </si>
  <si>
    <t>Adicional de Importância Sistêmica de Capital Principal - ACPSistêmico (%)</t>
  </si>
  <si>
    <t>11</t>
  </si>
  <si>
    <t>ACP total (%)</t>
  </si>
  <si>
    <t>12</t>
  </si>
  <si>
    <t>Margem excedente de Capital Principal (%)</t>
  </si>
  <si>
    <t>Razão de Alavancagem (RA)</t>
  </si>
  <si>
    <t>13</t>
  </si>
  <si>
    <t>Exposição total</t>
  </si>
  <si>
    <t>NA</t>
  </si>
  <si>
    <t>14</t>
  </si>
  <si>
    <t>RA (%)</t>
  </si>
  <si>
    <t>Indicador Liquidez de Curto Prazo (LCR)</t>
  </si>
  <si>
    <t>15</t>
  </si>
  <si>
    <t>Total de Ativos de Alta Liquidez (HQLA)</t>
  </si>
  <si>
    <t>16</t>
  </si>
  <si>
    <t>Total de saídas líquidas de caixa</t>
  </si>
  <si>
    <t>17</t>
  </si>
  <si>
    <t>LCR (%)</t>
  </si>
  <si>
    <t>Indicador de Liquidez de Longo Prazo (NSFR)</t>
  </si>
  <si>
    <t>18</t>
  </si>
  <si>
    <t>Recursos estáveis disponíveis (ASF)</t>
  </si>
  <si>
    <t>19</t>
  </si>
  <si>
    <t>Recursos estáveis requeridos (RSF)</t>
  </si>
  <si>
    <t>20</t>
  </si>
  <si>
    <t>NSFR (%)</t>
  </si>
  <si>
    <t>Comentários</t>
  </si>
  <si>
    <t>Informações quantitativas sobre a exposição associada a instrumentos financeiros derivativos</t>
  </si>
  <si>
    <t>Derivativos: Carteira de Negociação e Carteira Bancária</t>
  </si>
  <si>
    <t>Em R$ milhões</t>
  </si>
  <si>
    <t>Com contraparte central</t>
  </si>
  <si>
    <t>Sem contraparte central</t>
  </si>
  <si>
    <t>Brasil</t>
  </si>
  <si>
    <t>Exterior</t>
  </si>
  <si>
    <t>Fatores de Risco</t>
  </si>
  <si>
    <t>Comprada</t>
  </si>
  <si>
    <t>Vendida</t>
  </si>
  <si>
    <t>Taxas de Juros</t>
  </si>
  <si>
    <t>Taxas de Câmbio</t>
  </si>
  <si>
    <t>Ações</t>
  </si>
  <si>
    <t>Commodities</t>
  </si>
  <si>
    <t>Abordagem padronizada - fatores de risco associados ao risco de mercado [MR1]</t>
  </si>
  <si>
    <r>
      <rPr>
        <rFont val="Arial"/>
        <color rgb="FFFFFFFF"/>
        <sz val="9.0"/>
      </rPr>
      <t>RWA</t>
    </r>
    <r>
      <rPr>
        <rFont val="Arial"/>
        <color rgb="FFFFFFFF"/>
        <sz val="6.0"/>
      </rPr>
      <t>MPAD</t>
    </r>
  </si>
  <si>
    <t xml:space="preserve">Taxas de juros </t>
  </si>
  <si>
    <t>1a</t>
  </si>
  <si>
    <r>
      <rPr>
        <rFont val="Arial"/>
        <color rgb="FF434343"/>
      </rPr>
      <t xml:space="preserve">    Taxas de juros prefixada denominadas em Real (RWA</t>
    </r>
    <r>
      <rPr>
        <rFont val="Arial"/>
        <color rgb="FF434343"/>
        <sz val="6.0"/>
      </rPr>
      <t>JUR1</t>
    </r>
    <r>
      <rPr>
        <rFont val="Arial"/>
        <color rgb="FF434343"/>
      </rPr>
      <t>)</t>
    </r>
  </si>
  <si>
    <t>1b</t>
  </si>
  <si>
    <r>
      <rPr>
        <rFont val="Arial"/>
        <color rgb="FF434343"/>
      </rPr>
      <t xml:space="preserve">    Taxas dos cupons de moeda estrangeira (RWA</t>
    </r>
    <r>
      <rPr>
        <rFont val="Arial"/>
        <color rgb="FF434343"/>
        <sz val="6.0"/>
      </rPr>
      <t>JUR2</t>
    </r>
    <r>
      <rPr>
        <rFont val="Arial"/>
        <color rgb="FF434343"/>
      </rPr>
      <t xml:space="preserve">) </t>
    </r>
  </si>
  <si>
    <t>1c</t>
  </si>
  <si>
    <r>
      <rPr>
        <rFont val="Arial"/>
        <color rgb="FF434343"/>
      </rPr>
      <t xml:space="preserve">    Taxas dos cupons de índices de preço (RWA</t>
    </r>
    <r>
      <rPr>
        <rFont val="Arial"/>
        <color rgb="FF434343"/>
        <sz val="6.0"/>
      </rPr>
      <t>JUR3</t>
    </r>
    <r>
      <rPr>
        <rFont val="Arial"/>
        <color rgb="FF434343"/>
      </rPr>
      <t xml:space="preserve">) </t>
    </r>
  </si>
  <si>
    <t>1d</t>
  </si>
  <si>
    <r>
      <rPr>
        <rFont val="Arial"/>
        <color rgb="FF434343"/>
      </rPr>
      <t xml:space="preserve">    Taxas dos cupons de taxas de juros (RWA</t>
    </r>
    <r>
      <rPr>
        <rFont val="Arial"/>
        <color rgb="FF434343"/>
        <sz val="6.0"/>
      </rPr>
      <t>JUR4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</si>
  <si>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ações (RWA</t>
    </r>
    <r>
      <rPr>
        <rFont val="Arial"/>
        <color rgb="FF434343"/>
        <sz val="6.0"/>
      </rPr>
      <t>acs</t>
    </r>
    <r>
      <rPr>
        <rFont val="Arial"/>
        <color rgb="FF434343"/>
      </rPr>
      <t xml:space="preserve">) </t>
    </r>
  </si>
  <si>
    <r>
      <rPr>
        <rFont val="Arial"/>
        <color rgb="FF434343"/>
      </rPr>
      <t>Taxas de câmbio (RWA</t>
    </r>
    <r>
      <rPr>
        <rFont val="Arial"/>
        <color rgb="FF434343"/>
        <sz val="6.0"/>
      </rPr>
      <t>cam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</si>
  <si>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mercadorias (commodities) (RWA</t>
    </r>
    <r>
      <rPr>
        <rFont val="Arial"/>
        <color rgb="FF434343"/>
        <sz val="6.0"/>
      </rPr>
      <t>com</t>
    </r>
    <r>
      <rPr>
        <rFont val="Arial"/>
        <color rgb="FF434343"/>
      </rPr>
      <t xml:space="preserve">) </t>
    </r>
  </si>
  <si>
    <t>Total</t>
  </si>
  <si>
    <t>O montante total do RWAMPAD considera os valores de R$ 166.622.260 e R$ 211.955.766, referentes ao RWACVA e RWADRC, respectivamente, de acordo com o estabelecido na Res. BCB nº 200/22.</t>
  </si>
  <si>
    <t>Visão geral dos ativos ponderados pelo risco (RWA)</t>
  </si>
  <si>
    <t>RWA</t>
  </si>
  <si>
    <t>Requerimento 
mínimo de PR</t>
  </si>
  <si>
    <t xml:space="preserve">Risco de Crédito em sentido estrito </t>
  </si>
  <si>
    <t>Do qual: apurado por meio da abordagem padronizada</t>
  </si>
  <si>
    <t>Do qual: apurado por meio da abordagem IRB básica</t>
  </si>
  <si>
    <t>Do qual: apurado por meio da abordagem IRB avançada</t>
  </si>
  <si>
    <t xml:space="preserve">Risco de crédito de contraparte (CCR) </t>
  </si>
  <si>
    <t>Do qual: apurado mediante uso da abordagem SA-CCR</t>
  </si>
  <si>
    <t>7a</t>
  </si>
  <si>
    <t xml:space="preserve">Do qual: apurado mediante uso da abordagem CEM </t>
  </si>
  <si>
    <t>Do qual: outros</t>
  </si>
  <si>
    <t xml:space="preserve">Cotas de fundos não consolidados - ativos subjacentes identificados </t>
  </si>
  <si>
    <t xml:space="preserve">Cotas de fundos não consolidados - ativos subjacentes inferidos conforme regulamento do fundo </t>
  </si>
  <si>
    <t xml:space="preserve">Cotas de fundos não consolidados - ativos subjacentes não identificados </t>
  </si>
  <si>
    <t>Exposições de securitização contabilizadas na carteira bancária</t>
  </si>
  <si>
    <t xml:space="preserve">Risco de mercado </t>
  </si>
  <si>
    <t>21</t>
  </si>
  <si>
    <t xml:space="preserve">Do qual: requerimento calculado mediante abordagem padronizada (RWAMPAD) </t>
  </si>
  <si>
    <t>22</t>
  </si>
  <si>
    <t xml:space="preserve">Do qual: requerimento calculado mediante modelo interno (RWAMINT) </t>
  </si>
  <si>
    <t>24</t>
  </si>
  <si>
    <t xml:space="preserve">Risco operacional </t>
  </si>
  <si>
    <t>I</t>
  </si>
  <si>
    <t>Risco de Pagamentos (RWASP)</t>
  </si>
  <si>
    <t>25</t>
  </si>
  <si>
    <t xml:space="preserve">Valores referentes às exposições não deduzidas no cálculo do PR </t>
  </si>
  <si>
    <t>29</t>
  </si>
  <si>
    <t>Total (1+6+12+13+14+16+20+24+I+25)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</si>
</sst>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yyyy"/>
    <numFmt numFmtId="165" formatCode="#,##0.00;(#,##0.00)"/>
    <numFmt numFmtId="166" formatCode="#,##0;(#,##0)"/>
  </numFmts>
  <fonts count="21">
    <font>
      <sz val="10.0"/>
      <color rgb="FF000000"/>
      <name val="Arial"/>
      <scheme val="minor"/>
    </font>
    <font>
      <sz val="12.0"/>
      <color theme="1"/>
      <name val="Arial"/>
    </font>
    <font>
      <sz val="9.0"/>
      <color theme="0"/>
      <name val="Arial"/>
    </font>
    <font>
      <sz val="10.0"/>
      <color theme="0"/>
      <name val="Arial"/>
    </font>
    <font>
      <sz val="10.0"/>
      <color rgb="FFFFFFFF"/>
      <name val="Arial"/>
    </font>
    <font>
      <sz val="9.0"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b/>
      <color rgb="FF9900FF"/>
      <name val="Arial"/>
    </font>
    <font>
      <b/>
      <color rgb="FF4C0677"/>
      <name val="Arial"/>
    </font>
    <font>
      <color theme="1"/>
      <name val="Arial"/>
      <scheme val="minor"/>
    </font>
    <font>
      <color rgb="FF434343"/>
      <name val="Arial"/>
    </font>
    <font>
      <color rgb="FF434343"/>
      <name val="Arial"/>
      <scheme val="minor"/>
    </font>
    <font>
      <b/>
      <color rgb="FF434343"/>
      <name val="Arial"/>
      <scheme val="minor"/>
    </font>
    <font>
      <sz val="9.0"/>
      <color rgb="FF434343"/>
      <name val="Arial"/>
      <scheme val="minor"/>
    </font>
    <font/>
    <font>
      <b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color rgb="FF434343"/>
      <name val="Arial"/>
    </font>
    <font>
      <sz val="9.0"/>
      <color rgb="FF43434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C0677"/>
        <bgColor rgb="FF4C0677"/>
      </patternFill>
    </fill>
  </fills>
  <borders count="10">
    <border/>
    <border>
      <bottom style="thin">
        <color rgb="FF999999"/>
      </bottom>
    </border>
    <border>
      <top style="thin">
        <color rgb="FF999999"/>
      </top>
    </border>
    <border>
      <top style="thin">
        <color rgb="FF7030A0"/>
      </top>
    </border>
    <border>
      <right style="thin">
        <color rgb="FF7030A0"/>
      </right>
      <top style="thin">
        <color rgb="FF7030A0"/>
      </top>
    </border>
    <border>
      <right style="thin">
        <color rgb="FF7030A0"/>
      </right>
    </border>
    <border>
      <bottom style="thin">
        <color rgb="FF7030A0"/>
      </bottom>
    </border>
    <border>
      <right style="thin">
        <color rgb="FF7030A0"/>
      </right>
      <bottom style="thin">
        <color rgb="FF7030A0"/>
      </bottom>
    </border>
    <border>
      <bottom style="thin">
        <color rgb="FFFFFFFF"/>
      </bottom>
    </border>
    <border>
      <top style="thin">
        <color rgb="FF666666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center" wrapText="0"/>
    </xf>
    <xf borderId="0" fillId="2" fontId="4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bottom" wrapText="0"/>
    </xf>
    <xf borderId="0" fillId="2" fontId="6" numFmtId="49" xfId="0" applyAlignment="1" applyFont="1" applyNumberFormat="1">
      <alignment readingOrder="0" shrinkToFit="0" wrapText="1"/>
    </xf>
    <xf borderId="0" fillId="2" fontId="7" numFmtId="49" xfId="0" applyAlignment="1" applyFont="1" applyNumberFormat="1">
      <alignment horizontal="center" readingOrder="0" shrinkToFit="0" vertical="center" wrapText="1"/>
    </xf>
    <xf borderId="0" fillId="2" fontId="7" numFmtId="164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left" readingOrder="0"/>
    </xf>
    <xf borderId="0" fillId="0" fontId="9" numFmtId="49" xfId="0" applyAlignment="1" applyFont="1" applyNumberFormat="1">
      <alignment horizontal="left" readingOrder="0"/>
    </xf>
    <xf borderId="0" fillId="0" fontId="6" numFmtId="49" xfId="0" applyAlignment="1" applyFont="1" applyNumberFormat="1">
      <alignment readingOrder="0" shrinkToFit="0" wrapText="1"/>
    </xf>
    <xf borderId="0" fillId="0" fontId="6" numFmtId="165" xfId="0" applyAlignment="1" applyFont="1" applyNumberFormat="1">
      <alignment horizontal="right" readingOrder="0" vertical="center"/>
    </xf>
    <xf borderId="0" fillId="0" fontId="10" numFmtId="165" xfId="0" applyAlignment="1" applyFont="1" applyNumberFormat="1">
      <alignment horizontal="right" readingOrder="0" shrinkToFit="0" vertical="center" wrapText="1"/>
    </xf>
    <xf borderId="0" fillId="0" fontId="10" numFmtId="165" xfId="0" applyAlignment="1" applyFont="1" applyNumberFormat="1">
      <alignment horizontal="left" readingOrder="0" shrinkToFit="0" vertical="center" wrapText="1"/>
    </xf>
    <xf borderId="0" fillId="0" fontId="11" numFmtId="49" xfId="0" applyAlignment="1" applyFont="1" applyNumberFormat="1">
      <alignment horizontal="center" readingOrder="0" shrinkToFit="0" wrapText="1"/>
    </xf>
    <xf borderId="0" fillId="0" fontId="11" numFmtId="49" xfId="0" applyAlignment="1" applyFont="1" applyNumberFormat="1">
      <alignment readingOrder="0" shrinkToFit="0" wrapText="1"/>
    </xf>
    <xf borderId="0" fillId="0" fontId="11" numFmtId="166" xfId="0" applyAlignment="1" applyFont="1" applyNumberFormat="1">
      <alignment horizontal="right" readingOrder="0"/>
    </xf>
    <xf borderId="0" fillId="0" fontId="11" numFmtId="166" xfId="0" applyAlignment="1" applyFont="1" applyNumberFormat="1">
      <alignment horizontal="right" readingOrder="0" vertical="center"/>
    </xf>
    <xf borderId="0" fillId="0" fontId="12" numFmtId="166" xfId="0" applyAlignment="1" applyFont="1" applyNumberFormat="1">
      <alignment horizontal="right" readingOrder="0" shrinkToFit="0" vertical="center" wrapText="1"/>
    </xf>
    <xf borderId="0" fillId="0" fontId="6" numFmtId="166" xfId="0" applyAlignment="1" applyFont="1" applyNumberFormat="1">
      <alignment horizontal="right" readingOrder="0"/>
    </xf>
    <xf borderId="1" fillId="0" fontId="6" numFmtId="166" xfId="0" applyAlignment="1" applyBorder="1" applyFont="1" applyNumberFormat="1">
      <alignment horizontal="right" readingOrder="0"/>
    </xf>
    <xf borderId="2" fillId="0" fontId="9" numFmtId="49" xfId="0" applyAlignment="1" applyBorder="1" applyFont="1" applyNumberFormat="1">
      <alignment horizontal="left" readingOrder="0"/>
    </xf>
    <xf borderId="2" fillId="0" fontId="6" numFmtId="49" xfId="0" applyAlignment="1" applyBorder="1" applyFont="1" applyNumberFormat="1">
      <alignment readingOrder="0" shrinkToFit="0" wrapText="1"/>
    </xf>
    <xf borderId="0" fillId="0" fontId="6" numFmtId="166" xfId="0" applyAlignment="1" applyFont="1" applyNumberFormat="1">
      <alignment horizontal="right"/>
    </xf>
    <xf borderId="2" fillId="0" fontId="6" numFmtId="166" xfId="0" applyAlignment="1" applyBorder="1" applyFont="1" applyNumberFormat="1">
      <alignment horizontal="right" readingOrder="0" vertical="center"/>
    </xf>
    <xf borderId="2" fillId="0" fontId="10" numFmtId="166" xfId="0" applyAlignment="1" applyBorder="1" applyFont="1" applyNumberFormat="1">
      <alignment horizontal="right" readingOrder="0" shrinkToFit="0" vertical="center" wrapText="1"/>
    </xf>
    <xf borderId="1" fillId="0" fontId="11" numFmtId="166" xfId="0" applyAlignment="1" applyBorder="1" applyFont="1" applyNumberFormat="1">
      <alignment horizontal="right" readingOrder="0"/>
    </xf>
    <xf borderId="0" fillId="0" fontId="6" numFmtId="10" xfId="0" applyAlignment="1" applyFont="1" applyNumberFormat="1">
      <alignment horizontal="right"/>
    </xf>
    <xf borderId="0" fillId="0" fontId="11" numFmtId="10" xfId="0" applyAlignment="1" applyFont="1" applyNumberFormat="1">
      <alignment horizontal="right" readingOrder="0"/>
    </xf>
    <xf borderId="0" fillId="0" fontId="11" numFmtId="10" xfId="0" applyAlignment="1" applyFont="1" applyNumberFormat="1">
      <alignment horizontal="right" readingOrder="0" vertical="center"/>
    </xf>
    <xf borderId="0" fillId="0" fontId="12" numFmtId="10" xfId="0" applyAlignment="1" applyFont="1" applyNumberFormat="1">
      <alignment horizontal="right" readingOrder="0" shrinkToFit="0" vertical="center" wrapText="1"/>
    </xf>
    <xf borderId="0" fillId="0" fontId="11" numFmtId="49" xfId="0" applyAlignment="1" applyFont="1" applyNumberFormat="1">
      <alignment readingOrder="0" vertical="bottom"/>
    </xf>
    <xf borderId="1" fillId="0" fontId="11" numFmtId="10" xfId="0" applyAlignment="1" applyBorder="1" applyFont="1" applyNumberFormat="1">
      <alignment horizontal="right" readingOrder="0"/>
    </xf>
    <xf borderId="0" fillId="0" fontId="10" numFmtId="49" xfId="0" applyAlignment="1" applyFont="1" applyNumberFormat="1">
      <alignment horizontal="center" shrinkToFit="0" vertical="center" wrapText="1"/>
    </xf>
    <xf borderId="0" fillId="0" fontId="10" numFmtId="49" xfId="0" applyAlignment="1" applyFont="1" applyNumberFormat="1">
      <alignment shrinkToFit="0" vertical="center" wrapText="1"/>
    </xf>
    <xf borderId="0" fillId="0" fontId="13" numFmtId="49" xfId="0" applyAlignment="1" applyFont="1" applyNumberFormat="1">
      <alignment horizontal="left" readingOrder="0" shrinkToFit="0" vertical="center" wrapText="0"/>
    </xf>
    <xf borderId="2" fillId="0" fontId="14" numFmtId="49" xfId="0" applyAlignment="1" applyBorder="1" applyFont="1" applyNumberFormat="1">
      <alignment horizontal="left" readingOrder="0" shrinkToFit="0" vertical="center" wrapText="1"/>
    </xf>
    <xf borderId="2" fillId="0" fontId="15" numFmtId="0" xfId="0" applyBorder="1" applyFont="1"/>
    <xf borderId="2" fillId="0" fontId="14" numFmtId="0" xfId="0" applyBorder="1" applyFont="1"/>
    <xf borderId="0" fillId="0" fontId="14" numFmtId="49" xfId="0" applyAlignment="1" applyFont="1" applyNumberFormat="1">
      <alignment horizontal="center" shrinkToFit="0" vertical="center" wrapText="1"/>
    </xf>
    <xf borderId="0" fillId="0" fontId="14" numFmtId="49" xfId="0" applyAlignment="1" applyFont="1" applyNumberFormat="1">
      <alignment shrinkToFit="0" vertical="center" wrapText="1"/>
    </xf>
    <xf borderId="0" fillId="0" fontId="14" numFmtId="0" xfId="0" applyFont="1"/>
    <xf borderId="0" fillId="2" fontId="16" numFmtId="164" xfId="0" applyAlignment="1" applyFont="1" applyNumberFormat="1">
      <alignment horizontal="center" readingOrder="0"/>
    </xf>
    <xf borderId="0" fillId="2" fontId="4" numFmtId="49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shrinkToFit="0" wrapText="0"/>
    </xf>
    <xf borderId="3" fillId="0" fontId="18" numFmtId="0" xfId="0" applyAlignment="1" applyBorder="1" applyFont="1">
      <alignment horizontal="center" readingOrder="0" shrinkToFit="0" wrapText="0"/>
    </xf>
    <xf borderId="4" fillId="0" fontId="15" numFmtId="0" xfId="0" applyBorder="1" applyFont="1"/>
    <xf borderId="0" fillId="0" fontId="18" numFmtId="0" xfId="0" applyAlignment="1" applyFont="1">
      <alignment horizontal="center" readingOrder="0" shrinkToFit="0" wrapText="0"/>
    </xf>
    <xf borderId="5" fillId="0" fontId="15" numFmtId="0" xfId="0" applyBorder="1" applyFont="1"/>
    <xf borderId="0" fillId="0" fontId="17" numFmtId="0" xfId="0" applyAlignment="1" applyFont="1">
      <alignment horizontal="left" readingOrder="0" shrinkToFit="0" wrapText="0"/>
    </xf>
    <xf borderId="6" fillId="0" fontId="17" numFmtId="0" xfId="0" applyAlignment="1" applyBorder="1" applyFont="1">
      <alignment horizontal="left" readingOrder="0" shrinkToFit="0" wrapText="0"/>
    </xf>
    <xf borderId="6" fillId="0" fontId="17" numFmtId="0" xfId="0" applyAlignment="1" applyBorder="1" applyFont="1">
      <alignment horizontal="center" readingOrder="0" shrinkToFit="0" wrapText="0"/>
    </xf>
    <xf borderId="7" fillId="0" fontId="17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3" xfId="0" applyAlignment="1" applyFont="1" applyNumberFormat="1">
      <alignment horizontal="center" readingOrder="0" shrinkToFit="0" vertical="bottom" wrapText="0"/>
    </xf>
    <xf borderId="5" fillId="0" fontId="17" numFmtId="3" xfId="0" applyAlignment="1" applyBorder="1" applyFont="1" applyNumberFormat="1">
      <alignment horizontal="center" readingOrder="0" shrinkToFit="0" vertical="bottom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0" fillId="0" fontId="11" numFmtId="166" xfId="0" applyAlignment="1" applyFont="1" applyNumberFormat="1">
      <alignment horizontal="left" readingOrder="0" vertical="center"/>
    </xf>
    <xf borderId="0" fillId="0" fontId="11" numFmtId="166" xfId="0" applyFont="1" applyNumberFormat="1"/>
    <xf borderId="0" fillId="0" fontId="12" numFmtId="49" xfId="0" applyAlignment="1" applyFont="1" applyNumberFormat="1">
      <alignment readingOrder="0" shrinkToFit="0" vertical="center" wrapText="1"/>
    </xf>
    <xf borderId="0" fillId="0" fontId="6" numFmtId="166" xfId="0" applyAlignment="1" applyFont="1" applyNumberFormat="1">
      <alignment horizontal="right" readingOrder="0" vertical="bottom"/>
    </xf>
    <xf borderId="0" fillId="0" fontId="6" numFmtId="166" xfId="0" applyAlignment="1" applyFont="1" applyNumberFormat="1">
      <alignment vertical="bottom"/>
    </xf>
    <xf borderId="2" fillId="0" fontId="11" numFmtId="49" xfId="0" applyAlignment="1" applyBorder="1" applyFont="1" applyNumberFormat="1">
      <alignment horizontal="left" readingOrder="0"/>
    </xf>
    <xf borderId="2" fillId="0" fontId="19" numFmtId="49" xfId="0" applyAlignment="1" applyBorder="1" applyFont="1" applyNumberFormat="1">
      <alignment horizontal="left" readingOrder="0"/>
    </xf>
    <xf borderId="0" fillId="0" fontId="19" numFmtId="166" xfId="0" applyAlignment="1" applyFont="1" applyNumberFormat="1">
      <alignment horizontal="right" readingOrder="0"/>
    </xf>
    <xf borderId="0" fillId="0" fontId="19" numFmtId="166" xfId="0" applyFont="1" applyNumberFormat="1"/>
    <xf borderId="0" fillId="0" fontId="10" numFmtId="49" xfId="0" applyAlignment="1" applyFont="1" applyNumberFormat="1">
      <alignment horizontal="left" shrinkToFit="0" vertical="top" wrapText="0"/>
    </xf>
    <xf borderId="2" fillId="0" fontId="20" numFmtId="49" xfId="0" applyAlignment="1" applyBorder="1" applyFont="1" applyNumberFormat="1">
      <alignment shrinkToFit="0" wrapText="1"/>
    </xf>
    <xf borderId="8" fillId="2" fontId="2" numFmtId="49" xfId="0" applyAlignment="1" applyBorder="1" applyFont="1" applyNumberFormat="1">
      <alignment horizontal="center" readingOrder="0" shrinkToFit="0" vertical="center" wrapText="0"/>
    </xf>
    <xf borderId="8" fillId="0" fontId="15" numFmtId="0" xfId="0" applyBorder="1" applyFont="1"/>
    <xf borderId="0" fillId="2" fontId="5" numFmtId="49" xfId="0" applyAlignment="1" applyFont="1" applyNumberFormat="1">
      <alignment horizontal="center" readingOrder="0" shrinkToFit="0" vertical="center" wrapText="1"/>
    </xf>
    <xf borderId="0" fillId="0" fontId="11" numFmtId="49" xfId="0" applyAlignment="1" applyFont="1" applyNumberFormat="1">
      <alignment horizontal="left" readingOrder="0" vertical="center"/>
    </xf>
    <xf borderId="0" fillId="0" fontId="11" numFmtId="49" xfId="0" applyAlignment="1" applyFont="1" applyNumberFormat="1">
      <alignment shrinkToFit="0" vertical="bottom" wrapText="1"/>
    </xf>
    <xf borderId="9" fillId="0" fontId="11" numFmtId="49" xfId="0" applyAlignment="1" applyBorder="1" applyFont="1" applyNumberFormat="1">
      <alignment readingOrder="0" shrinkToFit="0" wrapText="1"/>
    </xf>
    <xf borderId="9" fillId="0" fontId="9" numFmtId="166" xfId="0" applyAlignment="1" applyBorder="1" applyFont="1" applyNumberFormat="1">
      <alignment horizontal="left" readingOrder="0" vertical="center"/>
    </xf>
    <xf borderId="9" fillId="0" fontId="9" numFmtId="166" xfId="0" applyAlignment="1" applyBorder="1" applyFont="1" applyNumberFormat="1">
      <alignment horizontal="right" readingOrder="0"/>
    </xf>
    <xf borderId="0" fillId="0" fontId="9" numFmtId="166" xfId="0" applyAlignment="1" applyFont="1" applyNumberFormat="1">
      <alignment horizontal="right" readingOrder="0"/>
    </xf>
    <xf borderId="0" fillId="0" fontId="10" numFmtId="49" xfId="0" applyAlignment="1" applyFont="1" applyNumberFormat="1">
      <alignment shrinkToFit="0" vertical="top" wrapText="1"/>
    </xf>
    <xf borderId="0" fillId="0" fontId="10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123825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28575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9" width="14.0"/>
  </cols>
  <sheetData>
    <row r="1">
      <c r="A1" s="1"/>
      <c r="B1" s="1"/>
      <c r="C1" s="1"/>
      <c r="D1" s="1"/>
      <c r="E1" s="2"/>
      <c r="F1" s="3"/>
      <c r="G1" s="3"/>
      <c r="H1" s="3"/>
      <c r="I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</row>
    <row r="3">
      <c r="A3" s="1"/>
      <c r="B3" s="4"/>
      <c r="C3" s="4"/>
      <c r="D3" s="4"/>
      <c r="E3" s="5"/>
      <c r="F3" s="6"/>
      <c r="G3" s="6"/>
      <c r="H3" s="6"/>
      <c r="I3" s="6"/>
    </row>
    <row r="4">
      <c r="A4" s="1"/>
      <c r="B4" s="4"/>
      <c r="C4" s="4"/>
      <c r="D4" s="4"/>
      <c r="E4" s="5"/>
      <c r="F4" s="6"/>
      <c r="G4" s="6"/>
      <c r="H4" s="6"/>
      <c r="I4" s="6"/>
    </row>
    <row r="5">
      <c r="A5" s="7"/>
      <c r="B5" s="8"/>
      <c r="C5" s="9" t="s">
        <v>0</v>
      </c>
      <c r="D5" s="4"/>
      <c r="E5" s="5"/>
      <c r="F5" s="6"/>
      <c r="G5" s="6"/>
      <c r="H5" s="6"/>
      <c r="I5" s="6"/>
    </row>
    <row r="6">
      <c r="A6" s="1"/>
      <c r="B6" s="4"/>
      <c r="C6" s="4"/>
      <c r="D6" s="4"/>
      <c r="E6" s="5" t="s">
        <v>1</v>
      </c>
      <c r="F6" s="6" t="s">
        <v>2</v>
      </c>
      <c r="G6" s="6" t="s">
        <v>3</v>
      </c>
      <c r="H6" s="6" t="s">
        <v>4</v>
      </c>
      <c r="I6" s="6" t="s">
        <v>5</v>
      </c>
    </row>
    <row r="7">
      <c r="A7" s="10"/>
      <c r="B7" s="11"/>
      <c r="C7" s="12" t="s">
        <v>6</v>
      </c>
      <c r="D7" s="13"/>
      <c r="E7" s="14" t="s">
        <v>7</v>
      </c>
      <c r="F7" s="15">
        <f t="shared" ref="F7:I7" si="1">E7-90</f>
        <v>45446</v>
      </c>
      <c r="G7" s="15">
        <f t="shared" si="1"/>
        <v>45356</v>
      </c>
      <c r="H7" s="15">
        <f t="shared" si="1"/>
        <v>45266</v>
      </c>
      <c r="I7" s="15">
        <f t="shared" si="1"/>
        <v>45176</v>
      </c>
    </row>
    <row r="8">
      <c r="A8" s="16"/>
      <c r="B8" s="16"/>
      <c r="C8" s="17" t="s">
        <v>8</v>
      </c>
      <c r="D8" s="18"/>
      <c r="E8" s="19"/>
      <c r="F8" s="19"/>
      <c r="G8" s="20"/>
      <c r="H8" s="21"/>
      <c r="I8" s="21"/>
    </row>
    <row r="9">
      <c r="A9" s="22"/>
      <c r="B9" s="22"/>
      <c r="C9" s="22" t="s">
        <v>9</v>
      </c>
      <c r="D9" s="23" t="s">
        <v>10</v>
      </c>
      <c r="E9" s="24">
        <v>1.5006902505E10</v>
      </c>
      <c r="F9" s="25">
        <v>1.3243611753E10</v>
      </c>
      <c r="G9" s="26">
        <v>1.1852236937E10</v>
      </c>
      <c r="H9" s="26">
        <v>1.0672167752E10</v>
      </c>
      <c r="I9" s="26">
        <v>8.885360617E9</v>
      </c>
    </row>
    <row r="10">
      <c r="A10" s="22"/>
      <c r="B10" s="22"/>
      <c r="C10" s="22" t="s">
        <v>11</v>
      </c>
      <c r="D10" s="23" t="s">
        <v>12</v>
      </c>
      <c r="E10" s="24">
        <v>1.6795114776E10</v>
      </c>
      <c r="F10" s="25">
        <v>1.5048813737E10</v>
      </c>
      <c r="G10" s="26">
        <v>1.2795676072E10</v>
      </c>
      <c r="H10" s="26">
        <v>1.1637887627E10</v>
      </c>
      <c r="I10" s="26">
        <v>9.613879904E9</v>
      </c>
    </row>
    <row r="11">
      <c r="A11" s="22"/>
      <c r="B11" s="22"/>
      <c r="C11" s="22" t="s">
        <v>13</v>
      </c>
      <c r="D11" s="23" t="s">
        <v>14</v>
      </c>
      <c r="E11" s="24">
        <v>1.8235930936E10</v>
      </c>
      <c r="F11" s="25">
        <v>1.6574240291E10</v>
      </c>
      <c r="G11" s="26">
        <v>1.39692237E10</v>
      </c>
      <c r="H11" s="26">
        <v>1.2770894732E10</v>
      </c>
      <c r="I11" s="26">
        <v>1.0707752042E10</v>
      </c>
    </row>
    <row r="12">
      <c r="A12" s="22"/>
      <c r="B12" s="22"/>
      <c r="C12" s="22" t="s">
        <v>15</v>
      </c>
      <c r="D12" s="23" t="s">
        <v>16</v>
      </c>
      <c r="E12" s="27" t="s">
        <v>17</v>
      </c>
      <c r="F12" s="25" t="s">
        <v>17</v>
      </c>
      <c r="G12" s="26" t="s">
        <v>17</v>
      </c>
      <c r="H12" s="26" t="s">
        <v>17</v>
      </c>
      <c r="I12" s="26" t="s">
        <v>17</v>
      </c>
    </row>
    <row r="13">
      <c r="A13" s="22"/>
      <c r="B13" s="22"/>
      <c r="C13" s="22" t="s">
        <v>18</v>
      </c>
      <c r="D13" s="23" t="s">
        <v>19</v>
      </c>
      <c r="E13" s="28" t="s">
        <v>17</v>
      </c>
      <c r="F13" s="25" t="s">
        <v>17</v>
      </c>
      <c r="G13" s="26" t="s">
        <v>17</v>
      </c>
      <c r="H13" s="26" t="s">
        <v>17</v>
      </c>
      <c r="I13" s="26" t="s">
        <v>17</v>
      </c>
    </row>
    <row r="14">
      <c r="A14" s="16"/>
      <c r="B14" s="16"/>
      <c r="C14" s="29" t="s">
        <v>20</v>
      </c>
      <c r="D14" s="30"/>
      <c r="E14" s="31"/>
      <c r="F14" s="32"/>
      <c r="G14" s="33"/>
      <c r="H14" s="33"/>
      <c r="I14" s="33"/>
    </row>
    <row r="15">
      <c r="A15" s="22"/>
      <c r="B15" s="22"/>
      <c r="C15" s="22" t="s">
        <v>21</v>
      </c>
      <c r="D15" s="23" t="s">
        <v>22</v>
      </c>
      <c r="E15" s="34">
        <v>1.15562993658E11</v>
      </c>
      <c r="F15" s="25">
        <v>1.04805517394E11</v>
      </c>
      <c r="G15" s="26">
        <v>1.00612467304E11</v>
      </c>
      <c r="H15" s="26">
        <v>9.3557039207E10</v>
      </c>
      <c r="I15" s="26">
        <v>9.7458504359E10</v>
      </c>
    </row>
    <row r="16">
      <c r="A16" s="16"/>
      <c r="B16" s="16"/>
      <c r="C16" s="29" t="s">
        <v>23</v>
      </c>
      <c r="D16" s="30"/>
      <c r="E16" s="35"/>
      <c r="F16" s="32"/>
      <c r="G16" s="33"/>
      <c r="H16" s="33"/>
      <c r="I16" s="33"/>
    </row>
    <row r="17">
      <c r="A17" s="22"/>
      <c r="B17" s="22"/>
      <c r="C17" s="22" t="s">
        <v>24</v>
      </c>
      <c r="D17" s="23" t="s">
        <v>25</v>
      </c>
      <c r="E17" s="36">
        <v>0.1299</v>
      </c>
      <c r="F17" s="37">
        <v>0.1264</v>
      </c>
      <c r="G17" s="38">
        <v>0.1178</v>
      </c>
      <c r="H17" s="38">
        <v>0.1141</v>
      </c>
      <c r="I17" s="38">
        <v>0.0912</v>
      </c>
    </row>
    <row r="18">
      <c r="A18" s="22"/>
      <c r="B18" s="22"/>
      <c r="C18" s="22" t="s">
        <v>26</v>
      </c>
      <c r="D18" s="39" t="s">
        <v>27</v>
      </c>
      <c r="E18" s="36">
        <v>0.1453</v>
      </c>
      <c r="F18" s="37">
        <v>0.1436</v>
      </c>
      <c r="G18" s="38">
        <v>0.1272</v>
      </c>
      <c r="H18" s="38">
        <v>0.1244</v>
      </c>
      <c r="I18" s="38">
        <v>0.0986</v>
      </c>
    </row>
    <row r="19">
      <c r="A19" s="22"/>
      <c r="B19" s="22"/>
      <c r="C19" s="22" t="s">
        <v>28</v>
      </c>
      <c r="D19" s="39" t="s">
        <v>29</v>
      </c>
      <c r="E19" s="40">
        <v>0.1578</v>
      </c>
      <c r="F19" s="37">
        <v>0.1581</v>
      </c>
      <c r="G19" s="38">
        <v>0.1388</v>
      </c>
      <c r="H19" s="38">
        <v>0.1365</v>
      </c>
      <c r="I19" s="38">
        <v>0.1099</v>
      </c>
    </row>
    <row r="20">
      <c r="A20" s="16"/>
      <c r="B20" s="16"/>
      <c r="C20" s="29" t="s">
        <v>30</v>
      </c>
      <c r="D20" s="30"/>
      <c r="E20" s="35"/>
      <c r="F20" s="32"/>
      <c r="G20" s="33"/>
      <c r="H20" s="33"/>
      <c r="I20" s="33"/>
    </row>
    <row r="21">
      <c r="A21" s="22"/>
      <c r="B21" s="22"/>
      <c r="C21" s="22" t="s">
        <v>31</v>
      </c>
      <c r="D21" s="23" t="s">
        <v>32</v>
      </c>
      <c r="E21" s="36">
        <v>0.0125</v>
      </c>
      <c r="F21" s="37">
        <v>0.0125</v>
      </c>
      <c r="G21" s="38">
        <v>0.0125</v>
      </c>
      <c r="H21" s="38">
        <v>0.0</v>
      </c>
      <c r="I21" s="38">
        <v>0.0</v>
      </c>
    </row>
    <row r="22">
      <c r="A22" s="22"/>
      <c r="B22" s="22"/>
      <c r="C22" s="22" t="s">
        <v>33</v>
      </c>
      <c r="D22" s="23" t="s">
        <v>34</v>
      </c>
      <c r="E22" s="36">
        <v>0.0</v>
      </c>
      <c r="F22" s="37">
        <v>0.0</v>
      </c>
      <c r="G22" s="38">
        <v>0.0</v>
      </c>
      <c r="H22" s="38">
        <v>0.0</v>
      </c>
      <c r="I22" s="38">
        <v>0.0</v>
      </c>
    </row>
    <row r="23">
      <c r="A23" s="22"/>
      <c r="B23" s="22"/>
      <c r="C23" s="22" t="s">
        <v>35</v>
      </c>
      <c r="D23" s="23" t="s">
        <v>36</v>
      </c>
      <c r="E23" s="36">
        <v>0.0</v>
      </c>
      <c r="F23" s="37">
        <v>0.0</v>
      </c>
      <c r="G23" s="38">
        <v>0.0</v>
      </c>
      <c r="H23" s="38">
        <v>0.0</v>
      </c>
      <c r="I23" s="38">
        <v>0.0</v>
      </c>
    </row>
    <row r="24">
      <c r="A24" s="22"/>
      <c r="B24" s="22"/>
      <c r="C24" s="22" t="s">
        <v>37</v>
      </c>
      <c r="D24" s="23" t="s">
        <v>38</v>
      </c>
      <c r="E24" s="36">
        <v>0.0125</v>
      </c>
      <c r="F24" s="37">
        <v>0.0125</v>
      </c>
      <c r="G24" s="38">
        <v>0.0125</v>
      </c>
      <c r="H24" s="38">
        <v>0.0</v>
      </c>
      <c r="I24" s="38">
        <v>0.0</v>
      </c>
    </row>
    <row r="25">
      <c r="A25" s="22"/>
      <c r="B25" s="22"/>
      <c r="C25" s="22" t="s">
        <v>39</v>
      </c>
      <c r="D25" s="23" t="s">
        <v>40</v>
      </c>
      <c r="E25" s="40">
        <v>0.0724</v>
      </c>
      <c r="F25" s="37">
        <v>0.0689</v>
      </c>
      <c r="G25" s="38">
        <v>0.0603</v>
      </c>
      <c r="H25" s="38">
        <v>0.0691</v>
      </c>
      <c r="I25" s="38">
        <v>0.0462</v>
      </c>
    </row>
    <row r="26">
      <c r="A26" s="16"/>
      <c r="B26" s="16"/>
      <c r="C26" s="29" t="s">
        <v>41</v>
      </c>
      <c r="D26" s="30"/>
      <c r="E26" s="31"/>
      <c r="F26" s="32"/>
      <c r="G26" s="33"/>
      <c r="H26" s="33"/>
      <c r="I26" s="33"/>
    </row>
    <row r="27">
      <c r="A27" s="22"/>
      <c r="B27" s="22"/>
      <c r="C27" s="22" t="s">
        <v>42</v>
      </c>
      <c r="D27" s="23" t="s">
        <v>43</v>
      </c>
      <c r="E27" s="24" t="s">
        <v>44</v>
      </c>
      <c r="F27" s="25" t="s">
        <v>44</v>
      </c>
      <c r="G27" s="26" t="s">
        <v>44</v>
      </c>
      <c r="H27" s="26" t="s">
        <v>44</v>
      </c>
      <c r="I27" s="26" t="s">
        <v>44</v>
      </c>
    </row>
    <row r="28">
      <c r="A28" s="22"/>
      <c r="B28" s="22"/>
      <c r="C28" s="22" t="s">
        <v>45</v>
      </c>
      <c r="D28" s="23" t="s">
        <v>46</v>
      </c>
      <c r="E28" s="34" t="s">
        <v>44</v>
      </c>
      <c r="F28" s="25" t="s">
        <v>44</v>
      </c>
      <c r="G28" s="26" t="s">
        <v>44</v>
      </c>
      <c r="H28" s="26" t="s">
        <v>44</v>
      </c>
      <c r="I28" s="26" t="s">
        <v>44</v>
      </c>
    </row>
    <row r="29">
      <c r="A29" s="16"/>
      <c r="B29" s="16"/>
      <c r="C29" s="29" t="s">
        <v>47</v>
      </c>
      <c r="D29" s="30"/>
      <c r="E29" s="31"/>
      <c r="F29" s="32"/>
      <c r="G29" s="33"/>
      <c r="H29" s="33"/>
      <c r="I29" s="33"/>
    </row>
    <row r="30">
      <c r="A30" s="22"/>
      <c r="B30" s="22"/>
      <c r="C30" s="22" t="s">
        <v>48</v>
      </c>
      <c r="D30" s="23" t="s">
        <v>49</v>
      </c>
      <c r="E30" s="24" t="s">
        <v>44</v>
      </c>
      <c r="F30" s="25" t="s">
        <v>44</v>
      </c>
      <c r="G30" s="26" t="s">
        <v>44</v>
      </c>
      <c r="H30" s="26" t="s">
        <v>44</v>
      </c>
      <c r="I30" s="26" t="s">
        <v>44</v>
      </c>
    </row>
    <row r="31">
      <c r="A31" s="22"/>
      <c r="B31" s="22"/>
      <c r="C31" s="22" t="s">
        <v>50</v>
      </c>
      <c r="D31" s="23" t="s">
        <v>51</v>
      </c>
      <c r="E31" s="24" t="s">
        <v>44</v>
      </c>
      <c r="F31" s="25" t="s">
        <v>44</v>
      </c>
      <c r="G31" s="26" t="s">
        <v>44</v>
      </c>
      <c r="H31" s="26" t="s">
        <v>44</v>
      </c>
      <c r="I31" s="26" t="s">
        <v>44</v>
      </c>
    </row>
    <row r="32">
      <c r="A32" s="22"/>
      <c r="B32" s="22"/>
      <c r="C32" s="22" t="s">
        <v>52</v>
      </c>
      <c r="D32" s="23" t="s">
        <v>53</v>
      </c>
      <c r="E32" s="34" t="s">
        <v>44</v>
      </c>
      <c r="F32" s="25" t="s">
        <v>44</v>
      </c>
      <c r="G32" s="26" t="s">
        <v>44</v>
      </c>
      <c r="H32" s="26" t="s">
        <v>44</v>
      </c>
      <c r="I32" s="26" t="s">
        <v>44</v>
      </c>
    </row>
    <row r="33">
      <c r="A33" s="16"/>
      <c r="B33" s="16"/>
      <c r="C33" s="29" t="s">
        <v>54</v>
      </c>
      <c r="D33" s="30"/>
      <c r="E33" s="31"/>
      <c r="F33" s="32"/>
      <c r="G33" s="33"/>
      <c r="H33" s="33"/>
      <c r="I33" s="33"/>
    </row>
    <row r="34">
      <c r="A34" s="22"/>
      <c r="B34" s="22"/>
      <c r="C34" s="22" t="s">
        <v>55</v>
      </c>
      <c r="D34" s="23" t="s">
        <v>56</v>
      </c>
      <c r="E34" s="24" t="s">
        <v>44</v>
      </c>
      <c r="F34" s="25" t="s">
        <v>44</v>
      </c>
      <c r="G34" s="26" t="s">
        <v>44</v>
      </c>
      <c r="H34" s="26" t="s">
        <v>44</v>
      </c>
      <c r="I34" s="26" t="s">
        <v>44</v>
      </c>
    </row>
    <row r="35">
      <c r="A35" s="22"/>
      <c r="B35" s="22"/>
      <c r="C35" s="22" t="s">
        <v>57</v>
      </c>
      <c r="D35" s="23" t="s">
        <v>58</v>
      </c>
      <c r="E35" s="24" t="s">
        <v>44</v>
      </c>
      <c r="F35" s="25" t="s">
        <v>44</v>
      </c>
      <c r="G35" s="26" t="s">
        <v>44</v>
      </c>
      <c r="H35" s="26" t="s">
        <v>44</v>
      </c>
      <c r="I35" s="26" t="s">
        <v>44</v>
      </c>
    </row>
    <row r="36">
      <c r="A36" s="22"/>
      <c r="B36" s="22"/>
      <c r="C36" s="22" t="s">
        <v>59</v>
      </c>
      <c r="D36" s="23" t="s">
        <v>60</v>
      </c>
      <c r="E36" s="24" t="s">
        <v>44</v>
      </c>
      <c r="F36" s="25" t="s">
        <v>44</v>
      </c>
      <c r="G36" s="26" t="s">
        <v>44</v>
      </c>
      <c r="H36" s="26" t="s">
        <v>44</v>
      </c>
      <c r="I36" s="26" t="s">
        <v>44</v>
      </c>
    </row>
    <row r="37">
      <c r="A37" s="41"/>
      <c r="B37" s="41"/>
      <c r="C37" s="41"/>
      <c r="D37" s="42"/>
    </row>
    <row r="38">
      <c r="A38" s="43"/>
      <c r="B38" s="43"/>
      <c r="C38" s="43" t="s">
        <v>61</v>
      </c>
      <c r="D38" s="42"/>
    </row>
    <row r="39">
      <c r="A39" s="41"/>
      <c r="B39" s="41"/>
      <c r="C39" s="44"/>
      <c r="D39" s="45"/>
      <c r="E39" s="45"/>
      <c r="F39" s="45"/>
      <c r="G39" s="45"/>
      <c r="H39" s="45"/>
      <c r="I39" s="46"/>
    </row>
    <row r="40">
      <c r="A40" s="41"/>
      <c r="B40" s="41"/>
      <c r="C40" s="47"/>
      <c r="D40" s="48"/>
      <c r="E40" s="49"/>
      <c r="F40" s="49"/>
      <c r="G40" s="49"/>
      <c r="H40" s="49"/>
      <c r="I40" s="49"/>
    </row>
    <row r="41">
      <c r="A41" s="41"/>
      <c r="B41" s="41"/>
      <c r="C41" s="47"/>
      <c r="D41" s="48"/>
      <c r="E41" s="49"/>
      <c r="F41" s="49"/>
      <c r="G41" s="49"/>
      <c r="H41" s="49"/>
      <c r="I41" s="49"/>
    </row>
    <row r="42">
      <c r="A42" s="41"/>
      <c r="B42" s="41"/>
      <c r="C42" s="47"/>
      <c r="D42" s="48"/>
      <c r="E42" s="49"/>
      <c r="F42" s="49"/>
      <c r="G42" s="49"/>
      <c r="H42" s="49"/>
      <c r="I42" s="49"/>
    </row>
  </sheetData>
  <mergeCells count="1">
    <mergeCell ref="C39:H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.75"/>
    <col customWidth="1" min="3" max="3" width="16.38"/>
    <col customWidth="1" min="4" max="11" width="14.0"/>
    <col customWidth="1" hidden="1" min="12" max="27" width="18.5"/>
  </cols>
  <sheetData>
    <row r="2"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B4" s="9"/>
      <c r="C4" s="9"/>
      <c r="D4" s="4"/>
      <c r="E4" s="4"/>
      <c r="F4" s="4"/>
      <c r="G4" s="4"/>
      <c r="H4" s="4"/>
      <c r="I4" s="4"/>
      <c r="J4" s="4"/>
      <c r="K4" s="4"/>
    </row>
    <row r="5">
      <c r="B5" s="9"/>
      <c r="C5" s="9" t="s">
        <v>62</v>
      </c>
      <c r="D5" s="4"/>
      <c r="E5" s="4"/>
      <c r="F5" s="4"/>
      <c r="G5" s="4"/>
      <c r="H5" s="4"/>
      <c r="I5" s="4"/>
      <c r="J5" s="4"/>
      <c r="K5" s="4"/>
    </row>
    <row r="6">
      <c r="B6" s="9"/>
      <c r="C6" s="9" t="s">
        <v>63</v>
      </c>
      <c r="D6" s="4"/>
      <c r="E6" s="4"/>
      <c r="F6" s="4"/>
      <c r="G6" s="4"/>
      <c r="H6" s="4"/>
      <c r="I6" s="4"/>
      <c r="J6" s="4"/>
      <c r="K6" s="4"/>
    </row>
    <row r="7">
      <c r="B7" s="9"/>
      <c r="C7" s="9" t="s">
        <v>64</v>
      </c>
      <c r="D7" s="4"/>
      <c r="E7" s="4"/>
      <c r="F7" s="4"/>
      <c r="G7" s="4"/>
      <c r="H7" s="4"/>
      <c r="I7" s="4"/>
      <c r="J7" s="4"/>
      <c r="K7" s="50">
        <v>45536.0</v>
      </c>
    </row>
    <row r="8">
      <c r="B8" s="8"/>
      <c r="C8" s="8"/>
      <c r="D8" s="51" t="s">
        <v>65</v>
      </c>
      <c r="H8" s="51" t="s">
        <v>66</v>
      </c>
    </row>
    <row r="9">
      <c r="B9" s="52"/>
      <c r="C9" s="52"/>
      <c r="D9" s="53" t="s">
        <v>67</v>
      </c>
      <c r="E9" s="54"/>
      <c r="F9" s="55" t="s">
        <v>68</v>
      </c>
      <c r="G9" s="56"/>
      <c r="H9" s="53" t="s">
        <v>67</v>
      </c>
      <c r="I9" s="54"/>
      <c r="J9" s="55" t="s">
        <v>68</v>
      </c>
    </row>
    <row r="10">
      <c r="B10" s="57"/>
      <c r="C10" s="58" t="s">
        <v>69</v>
      </c>
      <c r="D10" s="59" t="s">
        <v>70</v>
      </c>
      <c r="E10" s="60" t="s">
        <v>71</v>
      </c>
      <c r="F10" s="59" t="s">
        <v>70</v>
      </c>
      <c r="G10" s="60" t="s">
        <v>71</v>
      </c>
      <c r="H10" s="59" t="s">
        <v>70</v>
      </c>
      <c r="I10" s="60" t="s">
        <v>71</v>
      </c>
      <c r="J10" s="59" t="s">
        <v>70</v>
      </c>
      <c r="K10" s="59" t="s">
        <v>71</v>
      </c>
    </row>
    <row r="11">
      <c r="B11" s="61"/>
      <c r="C11" s="61" t="s">
        <v>72</v>
      </c>
      <c r="D11" s="62">
        <v>3380.0</v>
      </c>
      <c r="E11" s="63">
        <v>3427.0</v>
      </c>
      <c r="F11" s="62"/>
      <c r="G11" s="63"/>
      <c r="H11" s="62">
        <v>2037.0</v>
      </c>
      <c r="I11" s="63">
        <v>1870.0</v>
      </c>
      <c r="J11" s="62"/>
      <c r="K11" s="62"/>
    </row>
    <row r="12">
      <c r="B12" s="61"/>
      <c r="C12" s="61" t="s">
        <v>73</v>
      </c>
      <c r="D12" s="62">
        <v>3359.0</v>
      </c>
      <c r="E12" s="63"/>
      <c r="F12" s="62"/>
      <c r="G12" s="63"/>
      <c r="H12" s="62"/>
      <c r="I12" s="63">
        <v>1870.0</v>
      </c>
      <c r="J12" s="62"/>
      <c r="K12" s="62"/>
    </row>
    <row r="13">
      <c r="B13" s="61"/>
      <c r="C13" s="61" t="s">
        <v>74</v>
      </c>
      <c r="D13" s="62"/>
      <c r="E13" s="63"/>
      <c r="F13" s="62"/>
      <c r="G13" s="63"/>
      <c r="H13" s="62"/>
      <c r="I13" s="63"/>
      <c r="J13" s="62"/>
      <c r="K13" s="62"/>
    </row>
    <row r="14">
      <c r="B14" s="61"/>
      <c r="C14" s="61" t="s">
        <v>75</v>
      </c>
      <c r="D14" s="62"/>
      <c r="E14" s="63"/>
      <c r="F14" s="62"/>
      <c r="G14" s="63"/>
      <c r="H14" s="62"/>
      <c r="I14" s="63"/>
      <c r="J14" s="62"/>
      <c r="K14" s="62"/>
    </row>
    <row r="16">
      <c r="C16" s="43" t="s">
        <v>61</v>
      </c>
      <c r="D16" s="42"/>
    </row>
    <row r="17">
      <c r="C17" s="44"/>
      <c r="D17" s="45"/>
      <c r="E17" s="45"/>
      <c r="F17" s="45"/>
      <c r="G17" s="45"/>
      <c r="H17" s="45"/>
      <c r="I17" s="45"/>
      <c r="J17" s="45"/>
      <c r="K17" s="45"/>
    </row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</sheetData>
  <mergeCells count="7">
    <mergeCell ref="D8:G8"/>
    <mergeCell ref="H8:K8"/>
    <mergeCell ref="D9:E9"/>
    <mergeCell ref="F9:G9"/>
    <mergeCell ref="H9:I9"/>
    <mergeCell ref="J9:K9"/>
    <mergeCell ref="C17:K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5" width="14.0"/>
    <col customWidth="1" hidden="1" min="6" max="8" width="14.0"/>
  </cols>
  <sheetData>
    <row r="1">
      <c r="A1" s="1"/>
      <c r="B1" s="1"/>
      <c r="C1" s="1"/>
      <c r="D1" s="1"/>
      <c r="E1" s="2"/>
      <c r="F1" s="2"/>
      <c r="G1" s="2"/>
      <c r="H1" s="2"/>
    </row>
    <row r="2" ht="6.75" customHeight="1">
      <c r="A2" s="1"/>
      <c r="B2" s="4"/>
      <c r="C2" s="4"/>
      <c r="D2" s="4"/>
      <c r="E2" s="5"/>
      <c r="F2" s="5"/>
      <c r="G2" s="5"/>
      <c r="H2" s="5"/>
    </row>
    <row r="3">
      <c r="A3" s="1"/>
      <c r="B3" s="4"/>
      <c r="C3" s="4"/>
      <c r="D3" s="4"/>
      <c r="E3" s="5"/>
      <c r="F3" s="5"/>
      <c r="G3" s="5"/>
      <c r="H3" s="5"/>
    </row>
    <row r="4">
      <c r="A4" s="1"/>
      <c r="B4" s="4"/>
      <c r="C4" s="4"/>
      <c r="D4" s="4"/>
      <c r="E4" s="5"/>
      <c r="F4" s="5"/>
      <c r="G4" s="5"/>
      <c r="H4" s="5"/>
    </row>
    <row r="5">
      <c r="A5" s="7"/>
      <c r="B5" s="8"/>
      <c r="C5" s="9" t="s">
        <v>76</v>
      </c>
      <c r="D5" s="4"/>
      <c r="E5" s="64" t="s">
        <v>1</v>
      </c>
      <c r="F5" s="64"/>
      <c r="G5" s="64"/>
      <c r="H5" s="64"/>
    </row>
    <row r="6">
      <c r="A6" s="1"/>
      <c r="B6" s="4"/>
      <c r="C6" s="4"/>
      <c r="D6" s="9"/>
      <c r="E6" s="64" t="s">
        <v>77</v>
      </c>
      <c r="F6" s="64"/>
      <c r="G6" s="64"/>
      <c r="H6" s="64"/>
    </row>
    <row r="7">
      <c r="A7" s="10"/>
      <c r="B7" s="11"/>
      <c r="C7" s="12" t="s">
        <v>6</v>
      </c>
      <c r="D7" s="13"/>
      <c r="E7" s="50">
        <v>45536.0</v>
      </c>
      <c r="F7" s="50"/>
      <c r="G7" s="50"/>
      <c r="H7" s="50"/>
    </row>
    <row r="8">
      <c r="A8" s="18"/>
      <c r="B8" s="18"/>
      <c r="C8" s="23" t="s">
        <v>9</v>
      </c>
      <c r="D8" s="65" t="s">
        <v>78</v>
      </c>
      <c r="E8" s="24">
        <v>7.5336954E7</v>
      </c>
      <c r="F8" s="66"/>
      <c r="G8" s="66"/>
      <c r="H8" s="66"/>
    </row>
    <row r="9">
      <c r="A9" s="18"/>
      <c r="B9" s="18"/>
      <c r="C9" s="23" t="s">
        <v>79</v>
      </c>
      <c r="D9" s="67" t="s">
        <v>80</v>
      </c>
      <c r="E9" s="24">
        <v>1.1529923E7</v>
      </c>
      <c r="F9" s="66"/>
      <c r="G9" s="66"/>
      <c r="H9" s="66"/>
    </row>
    <row r="10">
      <c r="A10" s="18"/>
      <c r="B10" s="18"/>
      <c r="C10" s="23" t="s">
        <v>81</v>
      </c>
      <c r="D10" s="65" t="s">
        <v>82</v>
      </c>
      <c r="E10" s="24" t="s">
        <v>17</v>
      </c>
      <c r="F10" s="66"/>
      <c r="G10" s="66"/>
      <c r="H10" s="66"/>
    </row>
    <row r="11">
      <c r="A11" s="18"/>
      <c r="B11" s="18"/>
      <c r="C11" s="23" t="s">
        <v>83</v>
      </c>
      <c r="D11" s="65" t="s">
        <v>84</v>
      </c>
      <c r="E11" s="24">
        <v>6.3807031E7</v>
      </c>
      <c r="F11" s="66"/>
      <c r="G11" s="66"/>
      <c r="H11" s="66"/>
    </row>
    <row r="12">
      <c r="B12" s="18"/>
      <c r="C12" s="23" t="s">
        <v>85</v>
      </c>
      <c r="D12" s="65" t="s">
        <v>86</v>
      </c>
      <c r="E12" s="24" t="s">
        <v>17</v>
      </c>
      <c r="F12" s="66"/>
      <c r="G12" s="66"/>
      <c r="H12" s="66"/>
    </row>
    <row r="13">
      <c r="A13" s="18"/>
      <c r="B13" s="18"/>
      <c r="C13" s="23" t="s">
        <v>11</v>
      </c>
      <c r="D13" s="65" t="s">
        <v>87</v>
      </c>
      <c r="E13" s="68" t="s">
        <v>17</v>
      </c>
      <c r="F13" s="69"/>
      <c r="G13" s="69"/>
      <c r="H13" s="69"/>
    </row>
    <row r="14">
      <c r="A14" s="18"/>
      <c r="B14" s="18"/>
      <c r="C14" s="23" t="s">
        <v>13</v>
      </c>
      <c r="D14" s="65" t="s">
        <v>88</v>
      </c>
      <c r="E14" s="24">
        <v>2.68977258E8</v>
      </c>
      <c r="F14" s="66"/>
      <c r="G14" s="66"/>
      <c r="H14" s="66"/>
    </row>
    <row r="15">
      <c r="A15" s="18"/>
      <c r="B15" s="18"/>
      <c r="C15" s="23" t="s">
        <v>21</v>
      </c>
      <c r="D15" s="65" t="s">
        <v>89</v>
      </c>
      <c r="E15" s="34" t="s">
        <v>17</v>
      </c>
      <c r="F15" s="66"/>
      <c r="G15" s="66"/>
      <c r="H15" s="66"/>
    </row>
    <row r="16">
      <c r="A16" s="18"/>
      <c r="B16" s="18"/>
      <c r="C16" s="70" t="s">
        <v>33</v>
      </c>
      <c r="D16" s="71" t="s">
        <v>90</v>
      </c>
      <c r="E16" s="72">
        <v>7.22892237E8</v>
      </c>
      <c r="F16" s="73"/>
      <c r="G16" s="73"/>
      <c r="H16" s="73"/>
    </row>
    <row r="17">
      <c r="A17" s="42"/>
      <c r="B17" s="42"/>
      <c r="C17" s="42"/>
      <c r="D17" s="42"/>
      <c r="E17" s="74"/>
      <c r="F17" s="74"/>
      <c r="G17" s="74"/>
      <c r="H17" s="74"/>
    </row>
    <row r="18">
      <c r="A18" s="42"/>
      <c r="B18" s="42"/>
      <c r="C18" s="43" t="s">
        <v>61</v>
      </c>
      <c r="D18" s="43"/>
      <c r="E18" s="42"/>
      <c r="F18" s="42"/>
      <c r="G18" s="42"/>
      <c r="H18" s="42"/>
    </row>
    <row r="19">
      <c r="A19" s="42"/>
      <c r="B19" s="42"/>
      <c r="C19" s="75" t="s">
        <v>91</v>
      </c>
      <c r="D19" s="45"/>
      <c r="E19" s="45"/>
      <c r="F19" s="44"/>
      <c r="G19" s="44"/>
      <c r="H19" s="44"/>
    </row>
    <row r="20">
      <c r="A20" s="42"/>
      <c r="B20" s="42"/>
      <c r="C20" s="42"/>
      <c r="D20" s="42"/>
      <c r="E20" s="74"/>
      <c r="F20" s="74"/>
      <c r="G20" s="74"/>
      <c r="H20" s="74"/>
    </row>
    <row r="21">
      <c r="A21" s="42"/>
      <c r="B21" s="42"/>
      <c r="C21" s="42"/>
      <c r="D21" s="42"/>
      <c r="E21" s="74"/>
      <c r="F21" s="74"/>
      <c r="G21" s="74"/>
      <c r="H21" s="74"/>
    </row>
    <row r="22">
      <c r="A22" s="42"/>
      <c r="B22" s="42"/>
      <c r="C22" s="42"/>
      <c r="D22" s="42"/>
      <c r="E22" s="74"/>
      <c r="F22" s="74"/>
      <c r="G22" s="74"/>
      <c r="H22" s="74"/>
    </row>
  </sheetData>
  <mergeCells count="1">
    <mergeCell ref="C19:E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7" width="15.75"/>
    <col customWidth="1" hidden="1" min="8" max="11" width="15.75"/>
  </cols>
  <sheetData>
    <row r="1">
      <c r="A1" s="1"/>
      <c r="B1" s="1"/>
      <c r="C1" s="1"/>
      <c r="D1" s="1"/>
      <c r="E1" s="2"/>
      <c r="F1" s="3"/>
      <c r="G1" s="3"/>
      <c r="H1" s="3"/>
      <c r="I1" s="3"/>
      <c r="J1" s="3"/>
      <c r="K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  <c r="J2" s="6"/>
      <c r="K2" s="6"/>
    </row>
    <row r="3">
      <c r="A3" s="1"/>
      <c r="B3" s="4"/>
      <c r="C3" s="4"/>
      <c r="D3" s="4"/>
      <c r="E3" s="5"/>
      <c r="F3" s="6"/>
      <c r="G3" s="6"/>
      <c r="H3" s="6"/>
      <c r="I3" s="6"/>
      <c r="J3" s="6"/>
      <c r="K3" s="6"/>
    </row>
    <row r="4">
      <c r="A4" s="1"/>
      <c r="B4" s="4"/>
      <c r="C4" s="4"/>
      <c r="D4" s="4"/>
      <c r="E4" s="5"/>
      <c r="F4" s="6"/>
      <c r="G4" s="6"/>
      <c r="H4" s="6"/>
      <c r="I4" s="6"/>
      <c r="J4" s="6"/>
      <c r="K4" s="6"/>
    </row>
    <row r="5">
      <c r="A5" s="7"/>
      <c r="B5" s="8"/>
      <c r="C5" s="9" t="s">
        <v>92</v>
      </c>
      <c r="D5" s="4"/>
      <c r="E5" s="5" t="s">
        <v>1</v>
      </c>
      <c r="F5" s="6" t="s">
        <v>2</v>
      </c>
      <c r="G5" s="6" t="s">
        <v>3</v>
      </c>
      <c r="H5" s="6"/>
      <c r="I5" s="6"/>
      <c r="J5" s="6"/>
      <c r="K5" s="6"/>
    </row>
    <row r="6">
      <c r="A6" s="1"/>
      <c r="B6" s="4"/>
      <c r="C6" s="4"/>
      <c r="D6" s="9"/>
      <c r="E6" s="76" t="s">
        <v>93</v>
      </c>
      <c r="F6" s="77"/>
      <c r="G6" s="78" t="s">
        <v>94</v>
      </c>
      <c r="H6" s="78"/>
      <c r="I6" s="78"/>
      <c r="J6" s="78"/>
      <c r="K6" s="78"/>
    </row>
    <row r="7">
      <c r="A7" s="10"/>
      <c r="B7" s="11"/>
      <c r="C7" s="12" t="s">
        <v>6</v>
      </c>
      <c r="D7" s="13"/>
      <c r="E7" s="50">
        <v>45536.0</v>
      </c>
      <c r="F7" s="50">
        <f>E7-90</f>
        <v>45446</v>
      </c>
      <c r="G7" s="50">
        <f>E7</f>
        <v>45536</v>
      </c>
      <c r="H7" s="50"/>
      <c r="I7" s="50"/>
      <c r="J7" s="50"/>
      <c r="K7" s="50"/>
    </row>
    <row r="8">
      <c r="A8" s="18"/>
      <c r="B8" s="22"/>
      <c r="C8" s="23" t="s">
        <v>9</v>
      </c>
      <c r="D8" s="65" t="s">
        <v>95</v>
      </c>
      <c r="E8" s="24">
        <v>7.8096048535E10</v>
      </c>
      <c r="F8" s="24">
        <v>7.2843824188E10</v>
      </c>
      <c r="G8" s="24">
        <v>5.819787605E9</v>
      </c>
      <c r="H8" s="24"/>
      <c r="I8" s="24"/>
      <c r="J8" s="24"/>
      <c r="K8" s="24"/>
    </row>
    <row r="9">
      <c r="A9" s="18"/>
      <c r="B9" s="22"/>
      <c r="C9" s="23" t="s">
        <v>11</v>
      </c>
      <c r="D9" s="79" t="s">
        <v>96</v>
      </c>
      <c r="E9" s="24">
        <v>7.8096048535E10</v>
      </c>
      <c r="F9" s="24">
        <v>7.2843824188E10</v>
      </c>
      <c r="G9" s="24">
        <v>5.819787605E9</v>
      </c>
      <c r="H9" s="24"/>
      <c r="I9" s="24"/>
      <c r="J9" s="24"/>
      <c r="K9" s="24"/>
    </row>
    <row r="10">
      <c r="A10" s="18"/>
      <c r="B10" s="22"/>
      <c r="C10" s="23" t="s">
        <v>13</v>
      </c>
      <c r="D10" s="79" t="s">
        <v>97</v>
      </c>
      <c r="E10" s="24" t="s">
        <v>17</v>
      </c>
      <c r="F10" s="24" t="s">
        <v>17</v>
      </c>
      <c r="G10" s="24" t="s">
        <v>17</v>
      </c>
      <c r="H10" s="24"/>
      <c r="I10" s="24"/>
      <c r="J10" s="24"/>
      <c r="K10" s="24"/>
    </row>
    <row r="11">
      <c r="A11" s="18"/>
      <c r="B11" s="22"/>
      <c r="C11" s="23" t="s">
        <v>24</v>
      </c>
      <c r="D11" s="79" t="s">
        <v>98</v>
      </c>
      <c r="E11" s="24" t="s">
        <v>17</v>
      </c>
      <c r="F11" s="24" t="s">
        <v>17</v>
      </c>
      <c r="G11" s="24" t="s">
        <v>17</v>
      </c>
      <c r="H11" s="24"/>
      <c r="I11" s="24"/>
      <c r="J11" s="24"/>
      <c r="K11" s="24"/>
    </row>
    <row r="12">
      <c r="A12" s="18"/>
      <c r="B12" s="22"/>
      <c r="C12" s="23" t="s">
        <v>26</v>
      </c>
      <c r="D12" s="65" t="s">
        <v>99</v>
      </c>
      <c r="E12" s="24">
        <v>2.7297021E7</v>
      </c>
      <c r="F12" s="24">
        <v>7191977.0</v>
      </c>
      <c r="G12" s="24">
        <v>2047277.0</v>
      </c>
      <c r="H12" s="24"/>
      <c r="I12" s="24"/>
      <c r="J12" s="24"/>
      <c r="K12" s="24"/>
    </row>
    <row r="13">
      <c r="A13" s="18"/>
      <c r="B13" s="22"/>
      <c r="C13" s="23" t="s">
        <v>28</v>
      </c>
      <c r="D13" s="79" t="s">
        <v>100</v>
      </c>
      <c r="E13" s="24" t="s">
        <v>17</v>
      </c>
      <c r="F13" s="24" t="s">
        <v>17</v>
      </c>
      <c r="G13" s="24" t="s">
        <v>17</v>
      </c>
      <c r="H13" s="24"/>
      <c r="I13" s="24"/>
      <c r="J13" s="24"/>
      <c r="K13" s="24"/>
    </row>
    <row r="14">
      <c r="A14" s="18"/>
      <c r="B14" s="22"/>
      <c r="C14" s="23" t="s">
        <v>101</v>
      </c>
      <c r="D14" s="79" t="s">
        <v>102</v>
      </c>
      <c r="E14" s="24">
        <v>2.5745659E7</v>
      </c>
      <c r="F14" s="24">
        <v>4891701.0</v>
      </c>
      <c r="G14" s="24">
        <v>1930924.0</v>
      </c>
      <c r="H14" s="24"/>
      <c r="I14" s="24"/>
      <c r="J14" s="24"/>
      <c r="K14" s="24"/>
    </row>
    <row r="15">
      <c r="A15" s="18"/>
      <c r="B15" s="22"/>
      <c r="C15" s="23" t="s">
        <v>33</v>
      </c>
      <c r="D15" s="79" t="s">
        <v>103</v>
      </c>
      <c r="E15" s="24">
        <v>1551362.0</v>
      </c>
      <c r="F15" s="24">
        <v>2300276.0</v>
      </c>
      <c r="G15" s="24">
        <v>116352.0</v>
      </c>
      <c r="H15" s="24"/>
      <c r="I15" s="24"/>
      <c r="J15" s="24"/>
      <c r="K15" s="24"/>
    </row>
    <row r="16">
      <c r="A16" s="18"/>
      <c r="B16" s="22"/>
      <c r="C16" s="23" t="s">
        <v>39</v>
      </c>
      <c r="D16" s="65" t="s">
        <v>104</v>
      </c>
      <c r="E16" s="24">
        <v>9.5150007E7</v>
      </c>
      <c r="F16" s="24">
        <v>7.0996972E7</v>
      </c>
      <c r="G16" s="24">
        <v>7136251.0</v>
      </c>
      <c r="H16" s="24"/>
      <c r="I16" s="24"/>
      <c r="J16" s="24"/>
      <c r="K16" s="24"/>
    </row>
    <row r="17">
      <c r="A17" s="18"/>
      <c r="B17" s="22"/>
      <c r="C17" s="23" t="s">
        <v>42</v>
      </c>
      <c r="D17" s="65" t="s">
        <v>105</v>
      </c>
      <c r="E17" s="24">
        <v>2837749.0</v>
      </c>
      <c r="F17" s="24">
        <v>2900844.0</v>
      </c>
      <c r="G17" s="24">
        <v>212831.0</v>
      </c>
      <c r="H17" s="24"/>
      <c r="I17" s="24"/>
      <c r="J17" s="24"/>
      <c r="K17" s="24"/>
    </row>
    <row r="18">
      <c r="A18" s="18"/>
      <c r="B18" s="22"/>
      <c r="C18" s="23" t="s">
        <v>45</v>
      </c>
      <c r="D18" s="65" t="s">
        <v>106</v>
      </c>
      <c r="E18" s="24" t="s">
        <v>17</v>
      </c>
      <c r="F18" s="24" t="s">
        <v>17</v>
      </c>
      <c r="G18" s="24" t="s">
        <v>17</v>
      </c>
      <c r="H18" s="24"/>
      <c r="I18" s="24"/>
      <c r="J18" s="24"/>
      <c r="K18" s="24"/>
    </row>
    <row r="19">
      <c r="A19" s="18"/>
      <c r="B19" s="22"/>
      <c r="C19" s="23" t="s">
        <v>50</v>
      </c>
      <c r="D19" s="65" t="s">
        <v>107</v>
      </c>
      <c r="E19" s="24">
        <v>5.28125258E8</v>
      </c>
      <c r="F19" s="24">
        <v>4.31162631E8</v>
      </c>
      <c r="G19" s="24">
        <v>3.9609394E7</v>
      </c>
      <c r="H19" s="24"/>
      <c r="I19" s="24"/>
      <c r="J19" s="24"/>
      <c r="K19" s="24"/>
    </row>
    <row r="20">
      <c r="A20" s="18"/>
      <c r="B20" s="22"/>
      <c r="C20" s="23" t="s">
        <v>59</v>
      </c>
      <c r="D20" s="65" t="s">
        <v>108</v>
      </c>
      <c r="E20" s="24">
        <v>7.22892237E8</v>
      </c>
      <c r="F20" s="24">
        <v>5.63222314E8</v>
      </c>
      <c r="G20" s="24">
        <v>5.4216918E7</v>
      </c>
      <c r="H20" s="24"/>
      <c r="I20" s="24"/>
      <c r="J20" s="24"/>
      <c r="K20" s="24"/>
    </row>
    <row r="21">
      <c r="A21" s="18"/>
      <c r="B21" s="22"/>
      <c r="C21" s="23" t="s">
        <v>109</v>
      </c>
      <c r="D21" s="79" t="s">
        <v>110</v>
      </c>
      <c r="E21" s="24">
        <v>7.22892237E8</v>
      </c>
      <c r="F21" s="24">
        <v>5.63222314E8</v>
      </c>
      <c r="G21" s="24">
        <v>5.4216918E7</v>
      </c>
      <c r="H21" s="24"/>
      <c r="I21" s="24"/>
      <c r="J21" s="24"/>
      <c r="K21" s="24"/>
    </row>
    <row r="22">
      <c r="A22" s="18"/>
      <c r="B22" s="22"/>
      <c r="C22" s="23" t="s">
        <v>111</v>
      </c>
      <c r="D22" s="79" t="s">
        <v>112</v>
      </c>
      <c r="E22" s="24" t="s">
        <v>17</v>
      </c>
      <c r="F22" s="24" t="s">
        <v>17</v>
      </c>
      <c r="G22" s="24" t="s">
        <v>17</v>
      </c>
      <c r="H22" s="24"/>
      <c r="I22" s="24"/>
      <c r="J22" s="24"/>
      <c r="K22" s="24"/>
    </row>
    <row r="23">
      <c r="A23" s="18"/>
      <c r="B23" s="22"/>
      <c r="C23" s="80" t="s">
        <v>113</v>
      </c>
      <c r="D23" s="66" t="s">
        <v>114</v>
      </c>
      <c r="E23" s="24">
        <v>2.7819398652E10</v>
      </c>
      <c r="F23" s="24">
        <v>2.2484390044E10</v>
      </c>
      <c r="G23" s="24">
        <v>2.086454899E9</v>
      </c>
      <c r="H23" s="24"/>
      <c r="I23" s="24"/>
      <c r="J23" s="24"/>
      <c r="K23" s="24"/>
    </row>
    <row r="24">
      <c r="A24" s="18"/>
      <c r="B24" s="22"/>
      <c r="C24" s="80" t="s">
        <v>115</v>
      </c>
      <c r="D24" s="66" t="s">
        <v>116</v>
      </c>
      <c r="E24" s="24">
        <v>5.192005221E9</v>
      </c>
      <c r="F24" s="24">
        <v>5.973687369E9</v>
      </c>
      <c r="G24" s="24">
        <v>3.89400392E8</v>
      </c>
      <c r="H24" s="24"/>
      <c r="I24" s="24"/>
      <c r="J24" s="24"/>
      <c r="K24" s="24"/>
    </row>
    <row r="25">
      <c r="A25" s="18"/>
      <c r="B25" s="22"/>
      <c r="C25" s="23" t="s">
        <v>117</v>
      </c>
      <c r="D25" s="65" t="s">
        <v>118</v>
      </c>
      <c r="E25" s="24">
        <v>3.079238979E9</v>
      </c>
      <c r="F25" s="24">
        <v>2.428141056E9</v>
      </c>
      <c r="G25" s="24">
        <v>2.68358959E8</v>
      </c>
      <c r="H25" s="24"/>
      <c r="I25" s="24"/>
      <c r="J25" s="24"/>
      <c r="K25" s="24"/>
    </row>
    <row r="26">
      <c r="A26" s="18"/>
      <c r="B26" s="22"/>
      <c r="C26" s="81" t="s">
        <v>119</v>
      </c>
      <c r="D26" s="82" t="s">
        <v>120</v>
      </c>
      <c r="E26" s="83">
        <v>1.15562993658E11</v>
      </c>
      <c r="F26" s="83">
        <v>1.04805517394E11</v>
      </c>
      <c r="G26" s="83">
        <v>8.667224524E9</v>
      </c>
      <c r="H26" s="84"/>
      <c r="I26" s="84"/>
      <c r="J26" s="84"/>
      <c r="K26" s="84"/>
    </row>
    <row r="27">
      <c r="A27" s="42"/>
      <c r="B27" s="42"/>
      <c r="C27" s="42"/>
      <c r="D27" s="42"/>
      <c r="E27" s="74"/>
      <c r="F27" s="85"/>
      <c r="G27" s="42"/>
      <c r="H27" s="42"/>
      <c r="I27" s="42"/>
      <c r="J27" s="42"/>
      <c r="K27" s="42"/>
    </row>
    <row r="28">
      <c r="A28" s="42"/>
      <c r="B28" s="43"/>
      <c r="C28" s="43" t="s">
        <v>61</v>
      </c>
      <c r="D28" s="42"/>
    </row>
    <row r="29">
      <c r="A29" s="42"/>
      <c r="B29" s="41"/>
      <c r="C29" s="44"/>
      <c r="D29" s="45"/>
      <c r="E29" s="45"/>
      <c r="F29" s="45"/>
      <c r="G29" s="46"/>
      <c r="H29" s="49"/>
      <c r="I29" s="49"/>
      <c r="J29" s="49"/>
      <c r="K29" s="49"/>
    </row>
    <row r="30">
      <c r="A30" s="86"/>
      <c r="B30" s="86"/>
      <c r="G30" s="86"/>
      <c r="H30" s="86"/>
      <c r="I30" s="86"/>
      <c r="J30" s="86"/>
      <c r="K30" s="86"/>
    </row>
    <row r="31">
      <c r="A31" s="42"/>
      <c r="B31" s="42"/>
      <c r="G31" s="42"/>
      <c r="H31" s="42"/>
      <c r="I31" s="42"/>
      <c r="J31" s="42"/>
      <c r="K31" s="42"/>
    </row>
    <row r="32">
      <c r="A32" s="42"/>
      <c r="B32" s="42"/>
      <c r="C32" s="42"/>
      <c r="D32" s="42"/>
      <c r="E32" s="74"/>
      <c r="F32" s="85"/>
      <c r="G32" s="42"/>
      <c r="H32" s="42"/>
      <c r="I32" s="42"/>
      <c r="J32" s="42"/>
      <c r="K32" s="42"/>
    </row>
  </sheetData>
  <mergeCells count="2">
    <mergeCell ref="E6:F6"/>
    <mergeCell ref="C29:F31"/>
  </mergeCells>
  <drawing r:id="rId1"/>
</worksheet>
</file>